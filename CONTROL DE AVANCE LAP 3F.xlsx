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P FASE 3\"/>
    </mc:Choice>
  </mc:AlternateContent>
  <xr:revisionPtr revIDLastSave="0" documentId="13_ncr:1_{28C0EF17-24BD-4E36-AD8F-10C4B9E3EA6A}" xr6:coauthVersionLast="47" xr6:coauthVersionMax="47" xr10:uidLastSave="{00000000-0000-0000-0000-000000000000}"/>
  <bookViews>
    <workbookView xWindow="-120" yWindow="-120" windowWidth="20730" windowHeight="11040" xr2:uid="{B972E68D-3791-4B2D-A9ED-DCCE2C697AF6}"/>
  </bookViews>
  <sheets>
    <sheet name="IRUs 5G" sheetId="7" r:id="rId1"/>
    <sheet name="Hoja1" sheetId="8" r:id="rId2"/>
  </sheets>
  <calcPr calcId="191029" iterateCount="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8" l="1"/>
  <c r="M5" i="8"/>
  <c r="S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M13" i="8"/>
  <c r="M12" i="8"/>
  <c r="M2" i="8"/>
  <c r="M3" i="8"/>
  <c r="M4" i="8"/>
  <c r="M6" i="8"/>
  <c r="M8" i="8"/>
  <c r="M9" i="8"/>
  <c r="M10" i="8"/>
  <c r="M11" i="8"/>
  <c r="G15" i="8"/>
</calcChain>
</file>

<file path=xl/sharedStrings.xml><?xml version="1.0" encoding="utf-8"?>
<sst xmlns="http://schemas.openxmlformats.org/spreadsheetml/2006/main" count="599" uniqueCount="124">
  <si>
    <t>PBMU-S02</t>
  </si>
  <si>
    <t>NEU-03</t>
  </si>
  <si>
    <t>NEU-04</t>
  </si>
  <si>
    <t>PBMU-S03</t>
  </si>
  <si>
    <t>NEU-11</t>
  </si>
  <si>
    <t>NEU-12</t>
  </si>
  <si>
    <t>NEU-15</t>
  </si>
  <si>
    <t>NEU-16</t>
  </si>
  <si>
    <t>NEU-10</t>
  </si>
  <si>
    <t>PBMU-S08</t>
  </si>
  <si>
    <t>PBMU-S09</t>
  </si>
  <si>
    <t>PBMU</t>
  </si>
  <si>
    <t>NEU-07</t>
  </si>
  <si>
    <t>P40</t>
  </si>
  <si>
    <t>P30</t>
  </si>
  <si>
    <t>P10</t>
  </si>
  <si>
    <t>P20</t>
  </si>
  <si>
    <t>FLOOR</t>
  </si>
  <si>
    <t>PBMU-S01</t>
  </si>
  <si>
    <t>NEU-02</t>
  </si>
  <si>
    <t>NEU-05</t>
  </si>
  <si>
    <t>NEU-06</t>
  </si>
  <si>
    <t>NEU-08</t>
  </si>
  <si>
    <t>NEU-09</t>
  </si>
  <si>
    <t>TELECOM ROOM</t>
  </si>
  <si>
    <t>NEU-01</t>
  </si>
  <si>
    <t>SCS-3.10</t>
  </si>
  <si>
    <t>SCS-3.8</t>
  </si>
  <si>
    <t>SCS-4.8</t>
  </si>
  <si>
    <t>PBMU-S04</t>
  </si>
  <si>
    <t>SCS-4.1</t>
  </si>
  <si>
    <t>SCS-3.13</t>
  </si>
  <si>
    <t>SCS-3.12</t>
  </si>
  <si>
    <t>SCS-2.17</t>
  </si>
  <si>
    <t>SCS-1.7</t>
  </si>
  <si>
    <t>NEU-13</t>
  </si>
  <si>
    <t>SCS-3.16</t>
  </si>
  <si>
    <t>PBMU-S07</t>
  </si>
  <si>
    <t>NEU-14</t>
  </si>
  <si>
    <t>SCS-3.15</t>
  </si>
  <si>
    <t>GABINETE</t>
  </si>
  <si>
    <t>G-01</t>
  </si>
  <si>
    <t>G-02</t>
  </si>
  <si>
    <t>G-05</t>
  </si>
  <si>
    <t>G-06</t>
  </si>
  <si>
    <t>G-07</t>
  </si>
  <si>
    <t>OTDR</t>
  </si>
  <si>
    <t>Start day</t>
  </si>
  <si>
    <t>End date</t>
  </si>
  <si>
    <t>Sala SCS-3.10</t>
  </si>
  <si>
    <t>Sala SCS-3.8</t>
  </si>
  <si>
    <t>Sala SCS-4.1</t>
  </si>
  <si>
    <t>Sala SCS-3.13</t>
  </si>
  <si>
    <t>Sala SCS-3.12</t>
  </si>
  <si>
    <t>Sala SCS-3.16</t>
  </si>
  <si>
    <t>Sala SCS-3.15</t>
  </si>
  <si>
    <t>Sala SCS-2.17</t>
  </si>
  <si>
    <t>Sala SCS-1.7</t>
  </si>
  <si>
    <t xml:space="preserve"> Clean NEU_10</t>
  </si>
  <si>
    <t>TIPO</t>
  </si>
  <si>
    <t>Se comprometión en entregar 10 a 15 por día desde ayer miercoles 2, pero no tenemos nada; favor enviar lo que que vayan avanzando, ya que tambien tenemos que procesar</t>
  </si>
  <si>
    <t>Nada que hacer</t>
  </si>
  <si>
    <t xml:space="preserve">Renzo, favor detallar donde se debe intervenir; apoyate con Marco </t>
  </si>
  <si>
    <t>Se va a generar PO</t>
  </si>
  <si>
    <t>Zona check in, se indicará cuando tengamos acceso</t>
  </si>
  <si>
    <t>Se considerará dentro del cleanup gabinete</t>
  </si>
  <si>
    <t>Hay que volver a fusionar y realizar mediciones OTDR, dentro de su alcannce de cambio de pigtail; si la fusión es en lado gabinete, se considerará dentro del cleanup gabinete</t>
  </si>
  <si>
    <t>N/A</t>
  </si>
  <si>
    <t>Clean up NEU</t>
  </si>
  <si>
    <t>Clean up IRU</t>
  </si>
  <si>
    <t xml:space="preserve"> Clean NEU_01</t>
  </si>
  <si>
    <t xml:space="preserve"> Clean NEU_02</t>
  </si>
  <si>
    <t xml:space="preserve"> Clean NEU_07</t>
  </si>
  <si>
    <t xml:space="preserve"> Clean NEU_08</t>
  </si>
  <si>
    <t xml:space="preserve"> Clean NEU_09</t>
  </si>
  <si>
    <t>FUSION</t>
  </si>
  <si>
    <t>ETAPA</t>
  </si>
  <si>
    <t>IRU_4G</t>
  </si>
  <si>
    <t>NEU 4G</t>
  </si>
  <si>
    <t>NEU 5G</t>
  </si>
  <si>
    <t>3F</t>
  </si>
  <si>
    <t>SOPORTE</t>
  </si>
  <si>
    <t>Progreso</t>
  </si>
  <si>
    <t>ETIQUETADO LADO IRU</t>
  </si>
  <si>
    <t xml:space="preserve">IRU Installation </t>
  </si>
  <si>
    <t xml:space="preserve">OBSERVACIONES </t>
  </si>
  <si>
    <t>FIBRA DAÑADA</t>
  </si>
  <si>
    <t xml:space="preserve">HILO M PRESENTA DAÑO DE A-B </t>
  </si>
  <si>
    <t xml:space="preserve">HILO K PRESENTA DAÑO DE A-B </t>
  </si>
  <si>
    <t xml:space="preserve">HILO N PRESENTA DAÑO DE A-B </t>
  </si>
  <si>
    <t>ATERRAMIENTO</t>
  </si>
  <si>
    <t xml:space="preserve">ETIQUETAS </t>
  </si>
  <si>
    <t>JUMPER DE F.O</t>
  </si>
  <si>
    <t>CABLE PODER</t>
  </si>
  <si>
    <t>PROGRESO</t>
  </si>
  <si>
    <t xml:space="preserve">AVANCE DE 9 SALAS </t>
  </si>
  <si>
    <t>P11</t>
  </si>
  <si>
    <t>PROGRESO TOTAL</t>
  </si>
  <si>
    <t>TONY 13:00 a 16:00</t>
  </si>
  <si>
    <t>CUMPA 8:00 a 11:30</t>
  </si>
  <si>
    <t>FRANK 8:00 a 11:30</t>
  </si>
  <si>
    <t>TONY 8:00 a 11:30</t>
  </si>
  <si>
    <t>IRU_5G</t>
  </si>
  <si>
    <t>TONY 13:00 a 17:00</t>
  </si>
  <si>
    <t>CUMPA 13:00 a 17:00</t>
  </si>
  <si>
    <t>CUMPA 1:00 a 17:00</t>
  </si>
  <si>
    <t>TONY -CUMPA 8:00 a 12 :00</t>
  </si>
  <si>
    <t>Sala SCS-4.8</t>
  </si>
  <si>
    <t xml:space="preserve"> Clean NEU_04</t>
  </si>
  <si>
    <t xml:space="preserve"> Clean NEU_05</t>
  </si>
  <si>
    <t xml:space="preserve"> Clean NEU_03</t>
  </si>
  <si>
    <t xml:space="preserve"> Clean NEU_06</t>
  </si>
  <si>
    <t xml:space="preserve"> Clean NEU_11</t>
  </si>
  <si>
    <t xml:space="preserve"> Clean NEU_12</t>
  </si>
  <si>
    <t>Sala SCS-3.14</t>
  </si>
  <si>
    <t>FRANK 8:00 a 12:00</t>
  </si>
  <si>
    <t>CUMPA 8:00 a 12:00</t>
  </si>
  <si>
    <t>FRANK 13:00 a 17:00</t>
  </si>
  <si>
    <t>CABLE SIN RESERVA</t>
  </si>
  <si>
    <t xml:space="preserve">TONY HUAMAN </t>
  </si>
  <si>
    <t xml:space="preserve">ALEX </t>
  </si>
  <si>
    <t>TONY 11:00 a 17:00</t>
  </si>
  <si>
    <t>FRANK</t>
  </si>
  <si>
    <t>CUMPA 11:00 a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</si>
</sst>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7"/>
      <color theme="1"/>
      <name val="Verdana"/>
      <family val="2"/>
    </font>
    <font>
      <sz val="10"/>
      <color rgb="FF000000"/>
      <name val="Calibri"/>
      <family val="3"/>
      <charset val="134"/>
      <scheme val="minor"/>
    </font>
    <font>
      <sz val="7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4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6"/>
      <color theme="1"/>
      <name val="Verdana"/>
      <family val="2"/>
    </font>
    <font>
      <b/>
      <sz val="10"/>
      <color theme="1"/>
      <name val="Arial"/>
      <family val="2"/>
    </font>
    <font>
      <sz val="11"/>
      <color theme="9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7"/>
      <name val="Verdana"/>
      <family val="2"/>
    </font>
    <font>
      <sz val="7"/>
      <name val="Arial"/>
      <family val="2"/>
    </font>
    <font>
      <sz val="10"/>
      <color rgb="FFFF0000"/>
      <name val="Arial"/>
      <family val="2"/>
    </font>
    <font>
      <b/>
      <sz val="10"/>
      <color theme="9"/>
      <name val="Arial"/>
      <family val="2"/>
    </font>
    <font>
      <sz val="10"/>
      <color theme="9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9FFE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CC6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9" fontId="9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left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9" fontId="0" fillId="0" borderId="0" xfId="0" applyNumberFormat="1"/>
    <xf numFmtId="0" fontId="17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9" fontId="16" fillId="0" borderId="0" xfId="0" applyNumberFormat="1" applyFont="1" applyAlignment="1">
      <alignment horizontal="center"/>
    </xf>
    <xf numFmtId="0" fontId="13" fillId="7" borderId="4" xfId="0" applyFont="1" applyFill="1" applyBorder="1" applyAlignment="1">
      <alignment horizontal="center" vertical="center" textRotation="90"/>
    </xf>
    <xf numFmtId="0" fontId="15" fillId="8" borderId="1" xfId="0" applyFont="1" applyFill="1" applyBorder="1" applyAlignment="1">
      <alignment horizontal="center" vertical="center" textRotation="90" wrapText="1"/>
    </xf>
    <xf numFmtId="0" fontId="13" fillId="7" borderId="1" xfId="0" applyFont="1" applyFill="1" applyBorder="1" applyAlignment="1">
      <alignment horizontal="center" vertical="center" textRotation="90"/>
    </xf>
    <xf numFmtId="0" fontId="14" fillId="10" borderId="1" xfId="0" applyFont="1" applyFill="1" applyBorder="1" applyAlignment="1">
      <alignment horizontal="center" vertical="center" textRotation="90" wrapText="1"/>
    </xf>
    <xf numFmtId="0" fontId="13" fillId="7" borderId="3" xfId="0" applyFont="1" applyFill="1" applyBorder="1" applyAlignment="1">
      <alignment horizontal="center" vertical="center" textRotation="90"/>
    </xf>
    <xf numFmtId="0" fontId="12" fillId="7" borderId="0" xfId="0" applyFont="1" applyFill="1" applyAlignment="1">
      <alignment horizontal="center" vertical="center" textRotation="90"/>
    </xf>
    <xf numFmtId="0" fontId="13" fillId="7" borderId="1" xfId="0" applyFont="1" applyFill="1" applyBorder="1" applyAlignment="1">
      <alignment horizontal="center" vertical="center" textRotation="90" wrapText="1"/>
    </xf>
    <xf numFmtId="0" fontId="12" fillId="7" borderId="1" xfId="0" applyFont="1" applyFill="1" applyBorder="1" applyAlignment="1">
      <alignment horizontal="center" vertical="center" textRotation="90"/>
    </xf>
    <xf numFmtId="0" fontId="8" fillId="9" borderId="1" xfId="0" applyFont="1" applyFill="1" applyBorder="1" applyAlignment="1">
      <alignment horizontal="center" vertical="center" textRotation="90" wrapText="1"/>
    </xf>
    <xf numFmtId="0" fontId="14" fillId="8" borderId="1" xfId="0" applyFont="1" applyFill="1" applyBorder="1" applyAlignment="1">
      <alignment horizontal="center" vertical="center" textRotation="90" wrapText="1"/>
    </xf>
    <xf numFmtId="0" fontId="13" fillId="11" borderId="1" xfId="0" applyFont="1" applyFill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" fontId="5" fillId="0" borderId="6" xfId="0" applyNumberFormat="1" applyFont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 textRotation="90" wrapText="1"/>
    </xf>
    <xf numFmtId="0" fontId="14" fillId="10" borderId="4" xfId="0" applyFont="1" applyFill="1" applyBorder="1" applyAlignment="1">
      <alignment horizontal="center" vertical="center" textRotation="90" wrapText="1"/>
    </xf>
    <xf numFmtId="0" fontId="14" fillId="8" borderId="4" xfId="0" applyFont="1" applyFill="1" applyBorder="1" applyAlignment="1">
      <alignment horizontal="center" vertical="center" textRotation="90" wrapText="1"/>
    </xf>
    <xf numFmtId="0" fontId="15" fillId="8" borderId="4" xfId="0" applyFont="1" applyFill="1" applyBorder="1" applyAlignment="1">
      <alignment horizontal="center" vertical="center" textRotation="90" wrapText="1"/>
    </xf>
    <xf numFmtId="0" fontId="12" fillId="7" borderId="9" xfId="0" applyFont="1" applyFill="1" applyBorder="1" applyAlignment="1">
      <alignment horizontal="center" vertical="center" textRotation="90"/>
    </xf>
    <xf numFmtId="0" fontId="19" fillId="8" borderId="4" xfId="0" applyFont="1" applyFill="1" applyBorder="1" applyAlignment="1">
      <alignment horizontal="center" vertical="center" textRotation="90" wrapText="1"/>
    </xf>
    <xf numFmtId="0" fontId="20" fillId="9" borderId="4" xfId="0" applyFont="1" applyFill="1" applyBorder="1" applyAlignment="1">
      <alignment horizontal="center" vertical="center" textRotation="90" wrapText="1"/>
    </xf>
    <xf numFmtId="0" fontId="20" fillId="9" borderId="8" xfId="0" applyFont="1" applyFill="1" applyBorder="1" applyAlignment="1">
      <alignment horizontal="center" vertical="center" textRotation="90" wrapText="1"/>
    </xf>
    <xf numFmtId="9" fontId="6" fillId="0" borderId="2" xfId="3" applyFont="1" applyBorder="1" applyAlignment="1">
      <alignment horizontal="center" vertical="center"/>
    </xf>
    <xf numFmtId="0" fontId="11" fillId="22" borderId="0" xfId="0" applyFont="1" applyFill="1" applyAlignment="1">
      <alignment horizontal="center" vertical="center" textRotation="90"/>
    </xf>
    <xf numFmtId="9" fontId="3" fillId="0" borderId="7" xfId="3" applyFont="1" applyBorder="1" applyAlignment="1">
      <alignment horizontal="center" vertical="center"/>
    </xf>
    <xf numFmtId="9" fontId="3" fillId="0" borderId="11" xfId="3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 textRotation="90" wrapText="1"/>
    </xf>
    <xf numFmtId="0" fontId="21" fillId="5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16" fontId="22" fillId="21" borderId="1" xfId="0" applyNumberFormat="1" applyFont="1" applyFill="1" applyBorder="1" applyAlignment="1">
      <alignment horizontal="center" vertical="center" wrapText="1"/>
    </xf>
    <xf numFmtId="16" fontId="22" fillId="21" borderId="6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/>
    </xf>
    <xf numFmtId="16" fontId="22" fillId="21" borderId="3" xfId="0" applyNumberFormat="1" applyFont="1" applyFill="1" applyBorder="1" applyAlignment="1">
      <alignment horizontal="center" vertical="center" wrapText="1"/>
    </xf>
    <xf numFmtId="16" fontId="22" fillId="21" borderId="10" xfId="0" applyNumberFormat="1" applyFont="1" applyFill="1" applyBorder="1" applyAlignment="1">
      <alignment horizontal="center" vertical="center" wrapText="1"/>
    </xf>
    <xf numFmtId="9" fontId="0" fillId="0" borderId="0" xfId="3" applyFont="1" applyAlignment="1"/>
    <xf numFmtId="0" fontId="23" fillId="0" borderId="1" xfId="0" applyFont="1" applyBorder="1" applyAlignment="1">
      <alignment horizontal="center" vertical="center"/>
    </xf>
    <xf numFmtId="0" fontId="24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4" fillId="21" borderId="3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/>
    <xf numFmtId="9" fontId="0" fillId="0" borderId="1" xfId="0" applyNumberFormat="1" applyBorder="1" applyAlignment="1">
      <alignment horizontal="center"/>
    </xf>
  </cellXfs>
  <cellStyles count="4">
    <cellStyle name="Normal" xfId="0" builtinId="0"/>
    <cellStyle name="Normal 2" xfId="1" xr:uid="{796B5301-EB98-414B-AF1B-F245F11E585D}"/>
    <cellStyle name="Porcentaje" xfId="3" builtinId="5"/>
    <cellStyle name="常规 2" xfId="2" xr:uid="{FEE071DA-7A0C-4F08-A248-6985619973C2}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Verdan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B9FFED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rial"/>
        <family val="2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rial"/>
        <family val="2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CC66"/>
        </patternFill>
      </fill>
      <alignment horizontal="center" vertical="center" textRotation="90" wrapText="0" indent="0" justifyLastLine="0" shrinkToFit="0" readingOrder="0"/>
    </dxf>
  </dxfs>
  <tableStyles count="0" defaultTableStyle="TableStyleMedium2" defaultPivotStyle="PivotStyleLight16"/>
  <colors>
    <mruColors>
      <color rgb="FF00FF00"/>
      <color rgb="FF00CC66"/>
      <color rgb="FF30FA73"/>
      <color rgb="FFCCECFF"/>
      <color rgb="FF00FFCC"/>
      <color rgb="FFCCFFFF"/>
      <color rgb="FFB9FFED"/>
      <color rgb="FF00CC99"/>
      <color rgb="FFFFFFE5"/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5G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8-4765-ADD6-59D722A6E4C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58-4765-ADD6-59D722A6E4C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58-4765-ADD6-59D722A6E4CC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5G'!$S$5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58-4765-ADD6-59D722A6E4CC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58-4765-ADD6-59D722A6E4CC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58-4765-ADD6-59D722A6E4CC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5G'!$S$8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58-4765-ADD6-59D722A6E4CC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5G'!$S$9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58-4765-ADD6-59D722A6E4CC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5G'!$S$10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58-4765-ADD6-59D722A6E4CC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5G'!$S$11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58-4765-ADD6-59D722A6E4CC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5G'!$S$12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58-4765-ADD6-59D722A6E4CC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658-4765-ADD6-59D722A6E4CC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5G'!$S$14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658-4765-ADD6-59D722A6E4CC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5G'!$S$15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658-4765-ADD6-59D722A6E4CC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5G'!$S$16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658-4765-ADD6-59D722A6E4CC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5G'!$S$17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658-4765-ADD6-59D722A6E4CC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5G'!$S$18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658-4765-ADD6-59D722A6E4CC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5G'!$S$19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658-4765-ADD6-59D722A6E4CC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5G'!$S$20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658-4765-ADD6-59D722A6E4CC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5G'!$S$21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658-4765-ADD6-59D722A6E4CC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5G'!$S$22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658-4765-ADD6-59D722A6E4CC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5G'!$S$23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658-4765-ADD6-59D722A6E4CC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5G'!$S$24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658-4765-ADD6-59D722A6E4CC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5G'!$S$25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658-4765-ADD6-59D722A6E4CC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5G'!$S$26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58-4765-ADD6-59D722A6E4CC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5G'!$S$27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658-4765-ADD6-59D722A6E4CC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5G'!$S$28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658-4765-ADD6-59D722A6E4CC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5G'!$S$29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658-4765-ADD6-59D722A6E4CC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5G'!$S$30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658-4765-ADD6-59D722A6E4CC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5G'!$S$31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658-4765-ADD6-59D722A6E4CC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5G'!$S$32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658-4765-ADD6-59D722A6E4CC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5G'!$S$33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658-4765-ADD6-59D722A6E4CC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5G'!$S$34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658-4765-ADD6-59D722A6E4CC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5G'!$S$35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6658-4765-ADD6-59D722A6E4CC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5G'!$S$36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658-4765-ADD6-59D722A6E4CC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5G'!$S$37</c:f>
              <c:numCache>
                <c:formatCode>0%</c:formatCode>
                <c:ptCount val="1"/>
                <c:pt idx="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658-4765-ADD6-59D722A6E4CC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5G'!$S$38</c:f>
              <c:numCache>
                <c:formatCode>0%</c:formatCode>
                <c:ptCount val="1"/>
                <c:pt idx="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658-4765-ADD6-59D722A6E4CC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5G'!$S$39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6658-4765-ADD6-59D722A6E4CC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5G'!$S$40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658-4765-ADD6-59D722A6E4CC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5G'!$S$41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6658-4765-ADD6-59D722A6E4CC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5G'!$S$42</c:f>
              <c:numCache>
                <c:formatCode>0%</c:formatCode>
                <c:ptCount val="1"/>
                <c:pt idx="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658-4765-ADD6-59D722A6E4CC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5G'!$S$43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6658-4765-ADD6-59D722A6E4CC}"/>
            </c:ext>
          </c:extLst>
        </c:ser>
        <c:ser>
          <c:idx val="42"/>
          <c:order val="42"/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5G'!$S$44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6658-4765-ADD6-59D722A6E4CC}"/>
            </c:ext>
          </c:extLst>
        </c:ser>
        <c:ser>
          <c:idx val="43"/>
          <c:order val="43"/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5G'!$S$45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6658-4765-ADD6-59D722A6E4CC}"/>
            </c:ext>
          </c:extLst>
        </c:ser>
        <c:ser>
          <c:idx val="44"/>
          <c:order val="44"/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5G'!$S$46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658-4765-ADD6-59D722A6E4CC}"/>
            </c:ext>
          </c:extLst>
        </c:ser>
        <c:ser>
          <c:idx val="45"/>
          <c:order val="45"/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5G'!$S$47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6658-4765-ADD6-59D722A6E4CC}"/>
            </c:ext>
          </c:extLst>
        </c:ser>
        <c:ser>
          <c:idx val="46"/>
          <c:order val="46"/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5G'!$S$48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658-4765-ADD6-59D722A6E4CC}"/>
            </c:ext>
          </c:extLst>
        </c:ser>
        <c:ser>
          <c:idx val="47"/>
          <c:order val="47"/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5G'!$S$49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6658-4765-ADD6-59D722A6E4CC}"/>
            </c:ext>
          </c:extLst>
        </c:ser>
        <c:ser>
          <c:idx val="48"/>
          <c:order val="48"/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5G'!$S$50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6658-4765-ADD6-59D722A6E4CC}"/>
            </c:ext>
          </c:extLst>
        </c:ser>
        <c:ser>
          <c:idx val="49"/>
          <c:order val="49"/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5G'!$S$51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6658-4765-ADD6-59D722A6E4CC}"/>
            </c:ext>
          </c:extLst>
        </c:ser>
        <c:ser>
          <c:idx val="50"/>
          <c:order val="50"/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5G'!$S$52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6658-4765-ADD6-59D722A6E4CC}"/>
            </c:ext>
          </c:extLst>
        </c:ser>
        <c:ser>
          <c:idx val="51"/>
          <c:order val="51"/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5G'!$S$53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6658-4765-ADD6-59D722A6E4CC}"/>
            </c:ext>
          </c:extLst>
        </c:ser>
        <c:ser>
          <c:idx val="52"/>
          <c:order val="52"/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5G'!$S$54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6658-4765-ADD6-59D722A6E4CC}"/>
            </c:ext>
          </c:extLst>
        </c:ser>
        <c:ser>
          <c:idx val="53"/>
          <c:order val="53"/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5G'!$S$55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6658-4765-ADD6-59D722A6E4CC}"/>
            </c:ext>
          </c:extLst>
        </c:ser>
        <c:ser>
          <c:idx val="54"/>
          <c:order val="54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5G'!$S$56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6658-4765-ADD6-59D722A6E4CC}"/>
            </c:ext>
          </c:extLst>
        </c:ser>
        <c:ser>
          <c:idx val="55"/>
          <c:order val="55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5G'!$S$57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6658-4765-ADD6-59D722A6E4CC}"/>
            </c:ext>
          </c:extLst>
        </c:ser>
        <c:ser>
          <c:idx val="56"/>
          <c:order val="56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5G'!$S$58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6658-4765-ADD6-59D722A6E4CC}"/>
            </c:ext>
          </c:extLst>
        </c:ser>
        <c:ser>
          <c:idx val="57"/>
          <c:order val="57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'IRUs 5G'!$S$1</c:f>
              <c:strCache>
                <c:ptCount val="1"/>
                <c:pt idx="0">
                  <c:v>Progreso</c:v>
                </c:pt>
              </c:strCache>
            </c:strRef>
          </c:cat>
          <c:val>
            <c:numRef>
              <c:f>'IRUs 5G'!$S$59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6658-4765-ADD6-59D722A6E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2983232"/>
        <c:axId val="612980608"/>
        <c:axId val="0"/>
      </c:bar3DChart>
      <c:catAx>
        <c:axId val="61298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12980608"/>
        <c:crosses val="autoZero"/>
        <c:auto val="1"/>
        <c:lblAlgn val="ctr"/>
        <c:lblOffset val="100"/>
        <c:noMultiLvlLbl val="0"/>
      </c:catAx>
      <c:valAx>
        <c:axId val="61298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1298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748393</xdr:colOff>
      <xdr:row>1</xdr:row>
      <xdr:rowOff>202972</xdr:rowOff>
    </xdr:from>
    <xdr:to>
      <xdr:col>26</xdr:col>
      <xdr:colOff>415585</xdr:colOff>
      <xdr:row>19</xdr:row>
      <xdr:rowOff>41578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075D2EC-B58A-4538-A9F1-C4F7409D2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12</xdr:row>
      <xdr:rowOff>0</xdr:rowOff>
    </xdr:from>
    <xdr:ext cx="338138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3F302C0-6667-4B49-97FE-F0ED892907ED}"/>
            </a:ext>
          </a:extLst>
        </xdr:cNvPr>
        <xdr:cNvSpPr txBox="1"/>
      </xdr:nvSpPr>
      <xdr:spPr>
        <a:xfrm>
          <a:off x="9263969" y="5073650"/>
          <a:ext cx="33813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s-PE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C1FC8C-0FE2-4CE6-817C-FAEC78722EED}" name="Tabla4" displayName="Tabla4" ref="S1:S60" totalsRowCount="1" headerRowDxfId="41" dataDxfId="40" totalsRowDxfId="38" tableBorderDxfId="39" dataCellStyle="Porcentaje">
  <autoFilter ref="S1:S59" xr:uid="{06C1FC8C-0FE2-4CE6-817C-FAEC78722EED}"/>
  <tableColumns count="1">
    <tableColumn id="1" xr3:uid="{5E7158BF-685E-4BEA-9FCF-0EA0B034B7F5}" name="Progreso" totalsRowFunction="custom" dataDxfId="37" totalsRowDxfId="36" dataCellStyle="Porcentaje" totalsRowCellStyle="Porcentaje">
      <calculatedColumnFormula>IFERROR(COUNTIF(L2:P2,1)/(COUNTIF(L2:P2,1)+COUNTIF(L2:P2,0)),0)</calculatedColumnFormula>
      <totalsRowFormula>AVERAGE(Tabla4[Progreso])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41AB75-B223-4FCD-AB28-78A80A5B9B1A}" name="Tabla6" displayName="Tabla6" ref="A1:R59" totalsRowShown="0" headerRowDxfId="35" tableBorderDxfId="34">
  <autoFilter ref="A1:R59" xr:uid="{E741AB75-B223-4FCD-AB28-78A80A5B9B1A}"/>
  <tableColumns count="18">
    <tableColumn id="1" xr3:uid="{2555DCD9-AF97-41D4-8749-13C3CBA67907}" name="GABINETE" dataDxfId="33"/>
    <tableColumn id="2" xr3:uid="{34D6DEF0-834B-4B18-8BF5-E130BC7348C2}" name="TIPO" dataDxfId="32"/>
    <tableColumn id="3" xr3:uid="{B1008287-7CF8-4A1B-8FEC-22D5A0289A75}" name="PBMU" dataDxfId="31"/>
    <tableColumn id="4" xr3:uid="{092B7B22-B51C-45DF-ADBF-970726D893AC}" name="NEU 4G" dataDxfId="30"/>
    <tableColumn id="5" xr3:uid="{041C650C-9513-41A1-AD78-FBACFA826866}" name="TELECOM ROOM" dataDxfId="29"/>
    <tableColumn id="6" xr3:uid="{773439DD-ABBE-44A0-844A-6B737D385551}" name="IRU_4G" dataDxfId="28"/>
    <tableColumn id="7" xr3:uid="{8B274B3B-4876-4A97-9FF3-6FC4B3A06F0E}" name="FLOOR" dataDxfId="27"/>
    <tableColumn id="8" xr3:uid="{B9A73C8E-1227-44F7-9379-D9AFC24B84A0}" name="IRU_5G" dataDxfId="26"/>
    <tableColumn id="9" xr3:uid="{F2677471-226A-4BB1-8E74-4D203C3C5AE7}" name="NEU 5G" dataDxfId="25"/>
    <tableColumn id="10" xr3:uid="{10DEC5DB-B0BC-4CB9-A461-0287F211F401}" name="ETAPA" dataDxfId="24"/>
    <tableColumn id="11" xr3:uid="{41EF81D1-4D84-43B7-B6DF-DAE99DAE8BF6}" name="SOPORTE" dataDxfId="23"/>
    <tableColumn id="12" xr3:uid="{1DE98BF6-44C5-4628-BBF1-BA8E0E64B5CE}" name="FUSION" dataDxfId="22"/>
    <tableColumn id="13" xr3:uid="{594DED4F-FFAB-4500-BD3F-84136E546018}" name="OTDR" dataDxfId="21"/>
    <tableColumn id="14" xr3:uid="{78ABB61B-22C4-43D7-9FA5-C94A4B4B334C}" name="ETIQUETADO LADO IRU" dataDxfId="20"/>
    <tableColumn id="15" xr3:uid="{C71FE7F2-19CC-4BAD-A378-0275DC42CB28}" name="IRU Installation " dataDxfId="19"/>
    <tableColumn id="16" xr3:uid="{6C2761EA-186E-497C-9EEF-7885767D0321}" name="OBSERVACIONES " dataDxfId="18"/>
    <tableColumn id="17" xr3:uid="{2847EF87-2005-4604-A734-A0A4E1CEEE81}" name="Start day" dataDxfId="17"/>
    <tableColumn id="18" xr3:uid="{CA3DF89E-A568-446B-A22B-D1FD5EB10436}" name="End date" dataDxfId="16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4DF5A4-75D3-47EC-9432-322D33B4D8BB}" name="Tabla3" displayName="Tabla3" ref="A1:M13" totalsRowShown="0" headerRowDxfId="15" dataDxfId="14" tableBorderDxfId="13">
  <autoFilter ref="A1:M13" xr:uid="{324DF5A4-75D3-47EC-9432-322D33B4D8BB}"/>
  <tableColumns count="13">
    <tableColumn id="1" xr3:uid="{D04C3FF4-D3E2-47BB-B2CF-E82FF9B172CA}" name="TIPO" dataDxfId="12"/>
    <tableColumn id="2" xr3:uid="{E2184AA4-A64E-45DE-AB85-2C5379F79B66}" name="PBMU" dataDxfId="11"/>
    <tableColumn id="3" xr3:uid="{ED157D7A-12D8-459C-A223-564EFD1277D5}" name="NEU 5G" dataDxfId="10"/>
    <tableColumn id="4" xr3:uid="{FC394C6A-872B-46D2-AB81-2A91C2B6753F}" name="TELECOM ROOM" dataDxfId="9"/>
    <tableColumn id="5" xr3:uid="{8E9488B1-ABDE-403D-B9CB-51B74552F37E}" name="FLOOR" dataDxfId="8"/>
    <tableColumn id="6" xr3:uid="{293CB3C3-CCAB-4E71-87FB-C176A1E40AFB}" name="ETAPA" dataDxfId="7"/>
    <tableColumn id="7" xr3:uid="{7133B034-0F42-4450-9CEE-7EC311032659}" name="ETIQUETAS " dataDxfId="6"/>
    <tableColumn id="8" xr3:uid="{A004CDBD-2DCA-4912-831E-D17C0C296DA3}" name="ATERRAMIENTO" dataDxfId="5"/>
    <tableColumn id="9" xr3:uid="{B91223DB-1BBF-45F0-8071-4B094A72613F}" name="JUMPER DE F.O" dataDxfId="4"/>
    <tableColumn id="10" xr3:uid="{310FC8AD-3159-4335-90FB-55803BB22F86}" name="CABLE PODER" dataDxfId="3"/>
    <tableColumn id="11" xr3:uid="{639D4560-94CA-4AAC-A027-D7CAE59C4E12}" name="Start day" dataDxfId="2"/>
    <tableColumn id="12" xr3:uid="{D826148C-3AC7-4F96-93FA-AB84B7C3048B}" name="End date" dataDxfId="1"/>
    <tableColumn id="13" xr3:uid="{0C964FC0-71DC-489E-A8D4-44E64C6A10CA}" name="PROGRESO" dataDxfId="0">
      <calculatedColumnFormula>IFERROR(COUNTIF(G2:J2,1)/(COUNTIF(G2:J2,1)+COUNTIF(G2:J2,0)),0)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1851-809F-4C7C-94C0-72B6D8E6CE69}">
  <dimension ref="A1:U1699"/>
  <sheetViews>
    <sheetView tabSelected="1" topLeftCell="B1" zoomScale="70" zoomScaleNormal="70" workbookViewId="0">
      <pane ySplit="1" topLeftCell="A2" activePane="bottomLeft" state="frozen"/>
      <selection activeCell="V1" sqref="V1"/>
      <selection pane="bottomLeft" activeCell="P14" sqref="P14"/>
    </sheetView>
  </sheetViews>
  <sheetFormatPr baseColWidth="10" defaultColWidth="11.5703125" defaultRowHeight="15"/>
  <cols>
    <col min="1" max="1" width="11.5703125" customWidth="1"/>
    <col min="2" max="2" width="12.28515625" customWidth="1"/>
    <col min="3" max="3" width="11.5703125" style="2"/>
    <col min="4" max="4" width="15.28515625" style="2" customWidth="1"/>
    <col min="5" max="5" width="16.140625" style="2" customWidth="1"/>
    <col min="6" max="6" width="7.28515625" style="1" customWidth="1"/>
    <col min="7" max="7" width="8.140625" style="2" customWidth="1"/>
    <col min="8" max="8" width="8.85546875" customWidth="1"/>
    <col min="9" max="9" width="15" customWidth="1"/>
    <col min="10" max="14" width="6.140625" style="5" customWidth="1"/>
    <col min="15" max="15" width="6.28515625" style="5" customWidth="1"/>
    <col min="16" max="16" width="40.7109375" customWidth="1"/>
    <col min="17" max="17" width="8.85546875" customWidth="1"/>
    <col min="18" max="18" width="10.42578125" customWidth="1"/>
    <col min="19" max="19" width="13.5703125" customWidth="1"/>
  </cols>
  <sheetData>
    <row r="1" spans="1:21" ht="161.25" customHeight="1">
      <c r="A1" s="33" t="s">
        <v>40</v>
      </c>
      <c r="B1" s="35" t="s">
        <v>59</v>
      </c>
      <c r="C1" s="30" t="s">
        <v>11</v>
      </c>
      <c r="D1" s="30" t="s">
        <v>78</v>
      </c>
      <c r="E1" s="34" t="s">
        <v>24</v>
      </c>
      <c r="F1" s="30" t="s">
        <v>77</v>
      </c>
      <c r="G1" s="30" t="s">
        <v>17</v>
      </c>
      <c r="H1" s="30" t="s">
        <v>102</v>
      </c>
      <c r="I1" s="32" t="s">
        <v>79</v>
      </c>
      <c r="J1" s="31" t="s">
        <v>76</v>
      </c>
      <c r="K1" s="37" t="s">
        <v>81</v>
      </c>
      <c r="L1" s="29" t="s">
        <v>75</v>
      </c>
      <c r="M1" s="29" t="s">
        <v>46</v>
      </c>
      <c r="N1" s="29" t="s">
        <v>83</v>
      </c>
      <c r="O1" s="38" t="s">
        <v>84</v>
      </c>
      <c r="P1" s="36" t="s">
        <v>85</v>
      </c>
      <c r="Q1" s="36" t="s">
        <v>47</v>
      </c>
      <c r="R1" s="54" t="s">
        <v>48</v>
      </c>
      <c r="S1" s="51" t="s">
        <v>82</v>
      </c>
      <c r="T1" s="89"/>
    </row>
    <row r="2" spans="1:21" s="7" customFormat="1" ht="18" customHeight="1">
      <c r="A2" s="55" t="s">
        <v>41</v>
      </c>
      <c r="B2" s="56" t="s">
        <v>69</v>
      </c>
      <c r="C2" s="57" t="s">
        <v>18</v>
      </c>
      <c r="D2" s="57" t="s">
        <v>19</v>
      </c>
      <c r="E2" s="58" t="s">
        <v>26</v>
      </c>
      <c r="F2" s="57">
        <v>12</v>
      </c>
      <c r="G2" s="57" t="s">
        <v>14</v>
      </c>
      <c r="H2" s="57">
        <v>1</v>
      </c>
      <c r="I2" s="57" t="s">
        <v>25</v>
      </c>
      <c r="J2" s="59" t="s">
        <v>80</v>
      </c>
      <c r="K2" s="23">
        <v>1</v>
      </c>
      <c r="L2" s="25">
        <v>1</v>
      </c>
      <c r="M2" s="25">
        <v>1</v>
      </c>
      <c r="N2" s="25">
        <v>1</v>
      </c>
      <c r="O2" s="25">
        <v>1</v>
      </c>
      <c r="P2" s="59"/>
      <c r="Q2" s="84">
        <v>46169</v>
      </c>
      <c r="R2" s="85">
        <v>46170</v>
      </c>
      <c r="S2" s="52">
        <f t="shared" ref="S2:S9" si="0">IFERROR(COUNTIF(L2:P2,1)/(COUNTIF(L2:P2,1)+COUNTIF(L2:P2,0)),0)</f>
        <v>1</v>
      </c>
      <c r="T2"/>
      <c r="U2"/>
    </row>
    <row r="3" spans="1:21" s="7" customFormat="1" ht="18" customHeight="1">
      <c r="A3" s="55" t="s">
        <v>41</v>
      </c>
      <c r="B3" s="56" t="s">
        <v>69</v>
      </c>
      <c r="C3" s="57" t="s">
        <v>18</v>
      </c>
      <c r="D3" s="57" t="s">
        <v>19</v>
      </c>
      <c r="E3" s="58" t="s">
        <v>26</v>
      </c>
      <c r="F3" s="57">
        <v>13</v>
      </c>
      <c r="G3" s="57" t="s">
        <v>14</v>
      </c>
      <c r="H3" s="57">
        <v>2</v>
      </c>
      <c r="I3" s="57" t="s">
        <v>25</v>
      </c>
      <c r="J3" s="59" t="s">
        <v>80</v>
      </c>
      <c r="K3" s="23">
        <v>1</v>
      </c>
      <c r="L3" s="25">
        <v>1</v>
      </c>
      <c r="M3" s="25">
        <v>1</v>
      </c>
      <c r="N3" s="25">
        <v>1</v>
      </c>
      <c r="O3" s="25">
        <v>1</v>
      </c>
      <c r="P3" s="59"/>
      <c r="Q3" s="84">
        <v>46167</v>
      </c>
      <c r="R3" s="85">
        <v>46170</v>
      </c>
      <c r="S3" s="52">
        <f t="shared" si="0"/>
        <v>1</v>
      </c>
      <c r="T3" s="27"/>
      <c r="U3" s="27"/>
    </row>
    <row r="4" spans="1:21" s="7" customFormat="1" ht="18" customHeight="1">
      <c r="A4" s="55" t="s">
        <v>41</v>
      </c>
      <c r="B4" s="56" t="s">
        <v>69</v>
      </c>
      <c r="C4" s="57" t="s">
        <v>18</v>
      </c>
      <c r="D4" s="57" t="s">
        <v>19</v>
      </c>
      <c r="E4" s="58" t="s">
        <v>26</v>
      </c>
      <c r="F4" s="57">
        <v>14</v>
      </c>
      <c r="G4" s="57" t="s">
        <v>14</v>
      </c>
      <c r="H4" s="57">
        <v>3</v>
      </c>
      <c r="I4" s="57" t="s">
        <v>25</v>
      </c>
      <c r="J4" s="59" t="s">
        <v>80</v>
      </c>
      <c r="K4" s="23">
        <v>1</v>
      </c>
      <c r="L4" s="25">
        <v>1</v>
      </c>
      <c r="M4" s="25">
        <v>1</v>
      </c>
      <c r="N4" s="25">
        <v>1</v>
      </c>
      <c r="O4" s="25">
        <v>1</v>
      </c>
      <c r="P4" s="59" t="s">
        <v>87</v>
      </c>
      <c r="Q4" s="84">
        <v>46167</v>
      </c>
      <c r="R4" s="85">
        <v>46175</v>
      </c>
      <c r="S4" s="52">
        <f t="shared" si="0"/>
        <v>1</v>
      </c>
    </row>
    <row r="5" spans="1:21" s="7" customFormat="1" ht="18" customHeight="1">
      <c r="A5" s="55" t="s">
        <v>41</v>
      </c>
      <c r="B5" s="56" t="s">
        <v>69</v>
      </c>
      <c r="C5" s="57" t="s">
        <v>18</v>
      </c>
      <c r="D5" s="57" t="s">
        <v>19</v>
      </c>
      <c r="E5" s="58" t="s">
        <v>26</v>
      </c>
      <c r="F5" s="57">
        <v>16</v>
      </c>
      <c r="G5" s="57" t="s">
        <v>14</v>
      </c>
      <c r="H5" s="57">
        <v>4</v>
      </c>
      <c r="I5" s="57" t="s">
        <v>25</v>
      </c>
      <c r="J5" s="59" t="s">
        <v>80</v>
      </c>
      <c r="K5" s="22" t="s">
        <v>67</v>
      </c>
      <c r="L5" s="25">
        <v>1</v>
      </c>
      <c r="M5" s="25">
        <v>1</v>
      </c>
      <c r="N5" s="25">
        <v>1</v>
      </c>
      <c r="O5" s="25">
        <v>1</v>
      </c>
      <c r="P5" s="59"/>
      <c r="Q5" s="84">
        <v>46165</v>
      </c>
      <c r="R5" s="85">
        <v>46170</v>
      </c>
      <c r="S5" s="52">
        <f t="shared" si="0"/>
        <v>1</v>
      </c>
      <c r="T5" s="100"/>
      <c r="U5" s="100"/>
    </row>
    <row r="6" spans="1:21" s="7" customFormat="1" ht="18" customHeight="1">
      <c r="A6" s="55" t="s">
        <v>41</v>
      </c>
      <c r="B6" s="56" t="s">
        <v>69</v>
      </c>
      <c r="C6" s="57" t="s">
        <v>18</v>
      </c>
      <c r="D6" s="57" t="s">
        <v>19</v>
      </c>
      <c r="E6" s="58" t="s">
        <v>26</v>
      </c>
      <c r="F6" s="57">
        <v>18</v>
      </c>
      <c r="G6" s="57" t="s">
        <v>14</v>
      </c>
      <c r="H6" s="57">
        <v>5</v>
      </c>
      <c r="I6" s="57" t="s">
        <v>25</v>
      </c>
      <c r="J6" s="59" t="s">
        <v>80</v>
      </c>
      <c r="K6" s="23">
        <v>1</v>
      </c>
      <c r="L6" s="25">
        <v>1</v>
      </c>
      <c r="M6" s="25">
        <v>1</v>
      </c>
      <c r="N6" s="25">
        <v>1</v>
      </c>
      <c r="O6" s="25">
        <v>1</v>
      </c>
      <c r="P6" s="59"/>
      <c r="Q6" s="84">
        <v>46169</v>
      </c>
      <c r="R6" s="85">
        <v>46169</v>
      </c>
      <c r="S6" s="52">
        <f t="shared" si="0"/>
        <v>1</v>
      </c>
      <c r="T6" s="100"/>
      <c r="U6" s="100"/>
    </row>
    <row r="7" spans="1:21" s="7" customFormat="1" ht="18" customHeight="1">
      <c r="A7" s="55" t="s">
        <v>41</v>
      </c>
      <c r="B7" s="56" t="s">
        <v>69</v>
      </c>
      <c r="C7" s="57" t="s">
        <v>18</v>
      </c>
      <c r="D7" s="57" t="s">
        <v>19</v>
      </c>
      <c r="E7" s="58" t="s">
        <v>26</v>
      </c>
      <c r="F7" s="57">
        <v>19</v>
      </c>
      <c r="G7" s="57" t="s">
        <v>14</v>
      </c>
      <c r="H7" s="57">
        <v>6</v>
      </c>
      <c r="I7" s="57" t="s">
        <v>25</v>
      </c>
      <c r="J7" s="59" t="s">
        <v>80</v>
      </c>
      <c r="K7" s="22" t="s">
        <v>67</v>
      </c>
      <c r="L7" s="25">
        <v>1</v>
      </c>
      <c r="M7" s="25">
        <v>1</v>
      </c>
      <c r="N7" s="25">
        <v>1</v>
      </c>
      <c r="O7" s="25">
        <v>1</v>
      </c>
      <c r="P7" s="86" t="s">
        <v>89</v>
      </c>
      <c r="Q7" s="84">
        <v>46167</v>
      </c>
      <c r="R7" s="85">
        <v>46175</v>
      </c>
      <c r="S7" s="52">
        <f t="shared" si="0"/>
        <v>1</v>
      </c>
    </row>
    <row r="8" spans="1:21" s="7" customFormat="1" ht="21" customHeight="1">
      <c r="A8" s="55" t="s">
        <v>41</v>
      </c>
      <c r="B8" s="60" t="s">
        <v>69</v>
      </c>
      <c r="C8" s="61" t="s">
        <v>0</v>
      </c>
      <c r="D8" s="61" t="s">
        <v>2</v>
      </c>
      <c r="E8" s="61" t="s">
        <v>27</v>
      </c>
      <c r="F8" s="61">
        <v>34</v>
      </c>
      <c r="G8" s="61" t="s">
        <v>14</v>
      </c>
      <c r="H8" s="61">
        <v>7</v>
      </c>
      <c r="I8" s="61" t="s">
        <v>19</v>
      </c>
      <c r="J8" s="59" t="s">
        <v>80</v>
      </c>
      <c r="K8" s="23">
        <v>1</v>
      </c>
      <c r="L8" s="12">
        <v>0</v>
      </c>
      <c r="M8" s="12">
        <v>0</v>
      </c>
      <c r="N8" s="12">
        <v>0</v>
      </c>
      <c r="O8" s="12">
        <v>0</v>
      </c>
      <c r="P8" s="59" t="s">
        <v>86</v>
      </c>
      <c r="Q8" s="84"/>
      <c r="R8" s="85"/>
      <c r="S8" s="52">
        <f t="shared" si="0"/>
        <v>0</v>
      </c>
      <c r="T8" s="24"/>
    </row>
    <row r="9" spans="1:21" s="7" customFormat="1" ht="18" customHeight="1">
      <c r="A9" s="55" t="s">
        <v>41</v>
      </c>
      <c r="B9" s="60" t="s">
        <v>69</v>
      </c>
      <c r="C9" s="61" t="s">
        <v>0</v>
      </c>
      <c r="D9" s="61" t="s">
        <v>2</v>
      </c>
      <c r="E9" s="61" t="s">
        <v>27</v>
      </c>
      <c r="F9" s="61">
        <v>36</v>
      </c>
      <c r="G9" s="61" t="s">
        <v>14</v>
      </c>
      <c r="H9" s="61">
        <v>8</v>
      </c>
      <c r="I9" s="61" t="s">
        <v>19</v>
      </c>
      <c r="J9" s="59" t="s">
        <v>80</v>
      </c>
      <c r="K9" s="91">
        <v>1</v>
      </c>
      <c r="L9" s="94">
        <v>1</v>
      </c>
      <c r="M9" s="94">
        <v>1</v>
      </c>
      <c r="N9" s="94">
        <v>1</v>
      </c>
      <c r="O9" s="94">
        <v>1</v>
      </c>
      <c r="P9" s="59" t="s">
        <v>88</v>
      </c>
      <c r="Q9" s="84">
        <v>46171</v>
      </c>
      <c r="R9" s="85">
        <v>46175</v>
      </c>
      <c r="S9" s="52">
        <f t="shared" si="0"/>
        <v>1</v>
      </c>
    </row>
    <row r="10" spans="1:21" s="7" customFormat="1" ht="18" customHeight="1">
      <c r="A10" s="55" t="s">
        <v>41</v>
      </c>
      <c r="B10" s="60" t="s">
        <v>69</v>
      </c>
      <c r="C10" s="61" t="s">
        <v>0</v>
      </c>
      <c r="D10" s="61" t="s">
        <v>2</v>
      </c>
      <c r="E10" s="61" t="s">
        <v>27</v>
      </c>
      <c r="F10" s="61">
        <v>38</v>
      </c>
      <c r="G10" s="61" t="s">
        <v>14</v>
      </c>
      <c r="H10" s="61">
        <v>9</v>
      </c>
      <c r="I10" s="61" t="s">
        <v>19</v>
      </c>
      <c r="J10" s="59" t="s">
        <v>80</v>
      </c>
      <c r="K10" s="91">
        <v>1</v>
      </c>
      <c r="L10" s="94">
        <v>1</v>
      </c>
      <c r="M10" s="94">
        <v>1</v>
      </c>
      <c r="N10" s="94">
        <v>1</v>
      </c>
      <c r="O10" s="94">
        <v>1</v>
      </c>
      <c r="P10" s="59"/>
      <c r="Q10" s="84">
        <v>46169</v>
      </c>
      <c r="R10" s="85">
        <v>46174</v>
      </c>
      <c r="S10" s="52">
        <f>IFERROR(COUNTIF(K10:P10,1)/(COUNTIF(K10:P10,1)+COUNTIF(K10:P10,0)),0)</f>
        <v>1</v>
      </c>
    </row>
    <row r="11" spans="1:21" s="7" customFormat="1" ht="18" customHeight="1">
      <c r="A11" s="55" t="s">
        <v>41</v>
      </c>
      <c r="B11" s="60" t="s">
        <v>69</v>
      </c>
      <c r="C11" s="61" t="s">
        <v>0</v>
      </c>
      <c r="D11" s="61" t="s">
        <v>2</v>
      </c>
      <c r="E11" s="61" t="s">
        <v>27</v>
      </c>
      <c r="F11" s="61">
        <v>40</v>
      </c>
      <c r="G11" s="61" t="s">
        <v>14</v>
      </c>
      <c r="H11" s="61">
        <v>10</v>
      </c>
      <c r="I11" s="61" t="s">
        <v>19</v>
      </c>
      <c r="J11" s="59" t="s">
        <v>80</v>
      </c>
      <c r="K11" s="91">
        <v>1</v>
      </c>
      <c r="L11" s="94">
        <v>1</v>
      </c>
      <c r="M11" s="94">
        <v>1</v>
      </c>
      <c r="N11" s="94">
        <v>1</v>
      </c>
      <c r="O11" s="94">
        <v>1</v>
      </c>
      <c r="P11" s="59"/>
      <c r="Q11" s="84">
        <v>46171</v>
      </c>
      <c r="R11" s="85">
        <v>46172</v>
      </c>
      <c r="S11" s="52">
        <f>IFERROR(COUNTIF(L11:P11,1)/(COUNTIF(L11:P11,1)+COUNTIF(L11:P11,0)),0)</f>
        <v>1</v>
      </c>
    </row>
    <row r="12" spans="1:21" s="7" customFormat="1" ht="18" customHeight="1">
      <c r="A12" s="55" t="s">
        <v>41</v>
      </c>
      <c r="B12" s="60" t="s">
        <v>69</v>
      </c>
      <c r="C12" s="61" t="s">
        <v>0</v>
      </c>
      <c r="D12" s="61" t="s">
        <v>2</v>
      </c>
      <c r="E12" s="61" t="s">
        <v>27</v>
      </c>
      <c r="F12" s="61">
        <v>47</v>
      </c>
      <c r="G12" s="61" t="s">
        <v>14</v>
      </c>
      <c r="H12" s="61">
        <v>11</v>
      </c>
      <c r="I12" s="61" t="s">
        <v>19</v>
      </c>
      <c r="J12" s="59" t="s">
        <v>80</v>
      </c>
      <c r="K12" s="91">
        <v>1</v>
      </c>
      <c r="L12" s="94">
        <v>1</v>
      </c>
      <c r="M12" s="94">
        <v>1</v>
      </c>
      <c r="N12" s="94">
        <v>1</v>
      </c>
      <c r="O12" s="94">
        <v>1</v>
      </c>
      <c r="P12" s="59"/>
      <c r="Q12" s="84">
        <v>46171</v>
      </c>
      <c r="R12" s="85">
        <v>46174</v>
      </c>
      <c r="S12" s="52">
        <f>IFERROR(COUNTIF(L12:P12,1)/(COUNTIF(L12:P12,1)+COUNTIF(L12:P12,0)),0)</f>
        <v>1</v>
      </c>
    </row>
    <row r="13" spans="1:21" s="7" customFormat="1" ht="18" customHeight="1">
      <c r="A13" s="62" t="s">
        <v>42</v>
      </c>
      <c r="B13" s="63" t="s">
        <v>69</v>
      </c>
      <c r="C13" s="64" t="s">
        <v>3</v>
      </c>
      <c r="D13" s="64" t="s">
        <v>20</v>
      </c>
      <c r="E13" s="64" t="s">
        <v>28</v>
      </c>
      <c r="F13" s="64">
        <v>51</v>
      </c>
      <c r="G13" s="64" t="s">
        <v>13</v>
      </c>
      <c r="H13" s="64">
        <v>12</v>
      </c>
      <c r="I13" s="64" t="s">
        <v>22</v>
      </c>
      <c r="J13" s="59" t="s">
        <v>80</v>
      </c>
      <c r="K13" s="22">
        <v>0</v>
      </c>
      <c r="L13" s="12">
        <v>0</v>
      </c>
      <c r="M13" s="12">
        <v>0</v>
      </c>
      <c r="N13" s="12">
        <v>0</v>
      </c>
      <c r="O13" s="12">
        <v>0</v>
      </c>
      <c r="P13" s="59"/>
      <c r="Q13" s="84"/>
      <c r="R13" s="85"/>
      <c r="S13" s="52">
        <f t="shared" ref="S13:S26" si="1">IFERROR(COUNTIF(K13:P13,1)/(COUNTIF(K13:P13,1)+COUNTIF(K13:P13,0)),0)</f>
        <v>0</v>
      </c>
    </row>
    <row r="14" spans="1:21" s="7" customFormat="1" ht="18" customHeight="1">
      <c r="A14" s="62" t="s">
        <v>42</v>
      </c>
      <c r="B14" s="63" t="s">
        <v>69</v>
      </c>
      <c r="C14" s="64" t="s">
        <v>3</v>
      </c>
      <c r="D14" s="64" t="s">
        <v>20</v>
      </c>
      <c r="E14" s="64" t="s">
        <v>28</v>
      </c>
      <c r="F14" s="64">
        <v>53</v>
      </c>
      <c r="G14" s="64" t="s">
        <v>13</v>
      </c>
      <c r="H14" s="64">
        <v>13</v>
      </c>
      <c r="I14" s="64" t="s">
        <v>22</v>
      </c>
      <c r="J14" s="59" t="s">
        <v>80</v>
      </c>
      <c r="K14" s="22">
        <v>0</v>
      </c>
      <c r="L14" s="12">
        <v>0</v>
      </c>
      <c r="M14" s="12">
        <v>0</v>
      </c>
      <c r="N14" s="12">
        <v>0</v>
      </c>
      <c r="O14" s="12">
        <v>0</v>
      </c>
      <c r="P14" s="59"/>
      <c r="Q14" s="84">
        <v>46170</v>
      </c>
      <c r="R14" s="85">
        <v>46171</v>
      </c>
      <c r="S14" s="52">
        <f t="shared" si="1"/>
        <v>0</v>
      </c>
    </row>
    <row r="15" spans="1:21" s="7" customFormat="1" ht="18" customHeight="1">
      <c r="A15" s="62" t="s">
        <v>42</v>
      </c>
      <c r="B15" s="63" t="s">
        <v>69</v>
      </c>
      <c r="C15" s="64" t="s">
        <v>3</v>
      </c>
      <c r="D15" s="64" t="s">
        <v>20</v>
      </c>
      <c r="E15" s="64" t="s">
        <v>28</v>
      </c>
      <c r="F15" s="64">
        <v>55</v>
      </c>
      <c r="G15" s="64" t="s">
        <v>13</v>
      </c>
      <c r="H15" s="64">
        <v>14</v>
      </c>
      <c r="I15" s="64" t="s">
        <v>22</v>
      </c>
      <c r="J15" s="59" t="s">
        <v>80</v>
      </c>
      <c r="K15" s="22">
        <v>0</v>
      </c>
      <c r="L15" s="12">
        <v>0</v>
      </c>
      <c r="M15" s="12">
        <v>0</v>
      </c>
      <c r="N15" s="12">
        <v>0</v>
      </c>
      <c r="O15" s="12">
        <v>0</v>
      </c>
      <c r="P15" s="59"/>
      <c r="Q15" s="84">
        <v>46170</v>
      </c>
      <c r="R15" s="85">
        <v>46171</v>
      </c>
      <c r="S15" s="52">
        <f t="shared" si="1"/>
        <v>0</v>
      </c>
    </row>
    <row r="16" spans="1:21" s="7" customFormat="1" ht="18" customHeight="1">
      <c r="A16" s="62" t="s">
        <v>42</v>
      </c>
      <c r="B16" s="65" t="s">
        <v>69</v>
      </c>
      <c r="C16" s="66" t="s">
        <v>3</v>
      </c>
      <c r="D16" s="66" t="s">
        <v>12</v>
      </c>
      <c r="E16" s="66" t="s">
        <v>30</v>
      </c>
      <c r="F16" s="66">
        <v>74</v>
      </c>
      <c r="G16" s="66" t="s">
        <v>13</v>
      </c>
      <c r="H16" s="66">
        <v>15</v>
      </c>
      <c r="I16" s="66" t="s">
        <v>23</v>
      </c>
      <c r="J16" s="59" t="s">
        <v>80</v>
      </c>
      <c r="K16" s="92">
        <v>1</v>
      </c>
      <c r="L16" s="93">
        <v>1</v>
      </c>
      <c r="M16" s="93">
        <v>0</v>
      </c>
      <c r="N16" s="93">
        <v>1</v>
      </c>
      <c r="O16" s="93">
        <v>1</v>
      </c>
      <c r="P16" s="59" t="s">
        <v>116</v>
      </c>
      <c r="Q16" s="84">
        <v>46184</v>
      </c>
      <c r="R16" s="85"/>
      <c r="S16" s="52">
        <f t="shared" si="1"/>
        <v>0.8</v>
      </c>
    </row>
    <row r="17" spans="1:19" s="7" customFormat="1" ht="18" customHeight="1">
      <c r="A17" s="62" t="s">
        <v>42</v>
      </c>
      <c r="B17" s="65" t="s">
        <v>69</v>
      </c>
      <c r="C17" s="66" t="s">
        <v>3</v>
      </c>
      <c r="D17" s="66" t="s">
        <v>12</v>
      </c>
      <c r="E17" s="66" t="s">
        <v>30</v>
      </c>
      <c r="F17" s="66">
        <v>75</v>
      </c>
      <c r="G17" s="66" t="s">
        <v>13</v>
      </c>
      <c r="H17" s="66">
        <v>16</v>
      </c>
      <c r="I17" s="66" t="s">
        <v>23</v>
      </c>
      <c r="J17" s="59" t="s">
        <v>80</v>
      </c>
      <c r="K17" s="22">
        <v>0</v>
      </c>
      <c r="L17" s="12">
        <v>0</v>
      </c>
      <c r="M17" s="12">
        <v>0</v>
      </c>
      <c r="N17" s="12">
        <v>0</v>
      </c>
      <c r="O17" s="12">
        <v>0</v>
      </c>
      <c r="P17" s="59"/>
      <c r="Q17" s="84">
        <v>46172</v>
      </c>
      <c r="R17" s="85">
        <v>46174</v>
      </c>
      <c r="S17" s="52">
        <f t="shared" si="1"/>
        <v>0</v>
      </c>
    </row>
    <row r="18" spans="1:19" s="7" customFormat="1" ht="18" customHeight="1">
      <c r="A18" s="62" t="s">
        <v>42</v>
      </c>
      <c r="B18" s="65" t="s">
        <v>69</v>
      </c>
      <c r="C18" s="66" t="s">
        <v>3</v>
      </c>
      <c r="D18" s="66" t="s">
        <v>12</v>
      </c>
      <c r="E18" s="66" t="s">
        <v>30</v>
      </c>
      <c r="F18" s="66">
        <v>77</v>
      </c>
      <c r="G18" s="66" t="s">
        <v>13</v>
      </c>
      <c r="H18" s="66">
        <v>17</v>
      </c>
      <c r="I18" s="66" t="s">
        <v>23</v>
      </c>
      <c r="J18" s="59" t="s">
        <v>80</v>
      </c>
      <c r="K18" s="92">
        <v>1</v>
      </c>
      <c r="L18" s="93">
        <v>1</v>
      </c>
      <c r="M18" s="93">
        <v>0</v>
      </c>
      <c r="N18" s="93">
        <v>1</v>
      </c>
      <c r="O18" s="93">
        <v>1</v>
      </c>
      <c r="P18" s="59" t="s">
        <v>118</v>
      </c>
      <c r="Q18" s="84">
        <v>46181</v>
      </c>
      <c r="R18" s="85"/>
      <c r="S18" s="52">
        <f t="shared" si="1"/>
        <v>0.8</v>
      </c>
    </row>
    <row r="19" spans="1:19" s="7" customFormat="1" ht="18" customHeight="1">
      <c r="A19" s="62" t="s">
        <v>42</v>
      </c>
      <c r="B19" s="65" t="s">
        <v>69</v>
      </c>
      <c r="C19" s="66" t="s">
        <v>3</v>
      </c>
      <c r="D19" s="66" t="s">
        <v>12</v>
      </c>
      <c r="E19" s="66" t="s">
        <v>30</v>
      </c>
      <c r="F19" s="66">
        <v>78</v>
      </c>
      <c r="G19" s="66" t="s">
        <v>13</v>
      </c>
      <c r="H19" s="66">
        <v>18</v>
      </c>
      <c r="I19" s="66" t="s">
        <v>23</v>
      </c>
      <c r="J19" s="59" t="s">
        <v>80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59"/>
      <c r="Q19" s="84">
        <v>46143</v>
      </c>
      <c r="R19" s="85">
        <v>46175</v>
      </c>
      <c r="S19" s="52">
        <f t="shared" si="1"/>
        <v>0</v>
      </c>
    </row>
    <row r="20" spans="1:19" s="7" customFormat="1" ht="18" customHeight="1">
      <c r="A20" s="62" t="s">
        <v>42</v>
      </c>
      <c r="B20" s="65" t="s">
        <v>69</v>
      </c>
      <c r="C20" s="66" t="s">
        <v>3</v>
      </c>
      <c r="D20" s="66" t="s">
        <v>12</v>
      </c>
      <c r="E20" s="66" t="s">
        <v>30</v>
      </c>
      <c r="F20" s="66">
        <v>80</v>
      </c>
      <c r="G20" s="66" t="s">
        <v>13</v>
      </c>
      <c r="H20" s="66">
        <v>19</v>
      </c>
      <c r="I20" s="66" t="s">
        <v>23</v>
      </c>
      <c r="J20" s="59" t="s">
        <v>80</v>
      </c>
      <c r="K20" s="95">
        <v>1</v>
      </c>
      <c r="L20" s="92">
        <v>1</v>
      </c>
      <c r="M20" s="92">
        <v>0</v>
      </c>
      <c r="N20" s="92">
        <v>1</v>
      </c>
      <c r="O20" s="92">
        <v>1</v>
      </c>
      <c r="P20" s="59" t="s">
        <v>122</v>
      </c>
      <c r="Q20" s="84">
        <v>46179</v>
      </c>
      <c r="R20" s="85"/>
      <c r="S20" s="52">
        <f t="shared" si="1"/>
        <v>0.8</v>
      </c>
    </row>
    <row r="21" spans="1:19" s="7" customFormat="1" ht="18" customHeight="1">
      <c r="A21" s="62" t="s">
        <v>42</v>
      </c>
      <c r="B21" s="65" t="s">
        <v>69</v>
      </c>
      <c r="C21" s="66" t="s">
        <v>3</v>
      </c>
      <c r="D21" s="66" t="s">
        <v>12</v>
      </c>
      <c r="E21" s="66" t="s">
        <v>30</v>
      </c>
      <c r="F21" s="66">
        <v>81</v>
      </c>
      <c r="G21" s="66" t="s">
        <v>13</v>
      </c>
      <c r="H21" s="66">
        <v>20</v>
      </c>
      <c r="I21" s="66" t="s">
        <v>23</v>
      </c>
      <c r="J21" s="59" t="s">
        <v>80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59"/>
      <c r="Q21" s="84"/>
      <c r="R21" s="85"/>
      <c r="S21" s="52">
        <f t="shared" si="1"/>
        <v>0</v>
      </c>
    </row>
    <row r="22" spans="1:19" s="7" customFormat="1" ht="18" customHeight="1">
      <c r="A22" s="62" t="s">
        <v>42</v>
      </c>
      <c r="B22" s="65" t="s">
        <v>69</v>
      </c>
      <c r="C22" s="66" t="s">
        <v>3</v>
      </c>
      <c r="D22" s="66" t="s">
        <v>12</v>
      </c>
      <c r="E22" s="66" t="s">
        <v>30</v>
      </c>
      <c r="F22" s="66">
        <v>83</v>
      </c>
      <c r="G22" s="66" t="s">
        <v>13</v>
      </c>
      <c r="H22" s="66">
        <v>21</v>
      </c>
      <c r="I22" s="66" t="s">
        <v>23</v>
      </c>
      <c r="J22" s="59" t="s">
        <v>80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59"/>
      <c r="Q22" s="84">
        <v>46176</v>
      </c>
      <c r="R22" s="85">
        <v>46177</v>
      </c>
      <c r="S22" s="52">
        <f t="shared" si="1"/>
        <v>0</v>
      </c>
    </row>
    <row r="23" spans="1:19" s="7" customFormat="1" ht="18" customHeight="1">
      <c r="A23" s="62" t="s">
        <v>42</v>
      </c>
      <c r="B23" s="65" t="s">
        <v>69</v>
      </c>
      <c r="C23" s="66" t="s">
        <v>3</v>
      </c>
      <c r="D23" s="66" t="s">
        <v>12</v>
      </c>
      <c r="E23" s="66" t="s">
        <v>30</v>
      </c>
      <c r="F23" s="66">
        <v>84</v>
      </c>
      <c r="G23" s="66" t="s">
        <v>13</v>
      </c>
      <c r="H23" s="66">
        <v>22</v>
      </c>
      <c r="I23" s="66" t="s">
        <v>23</v>
      </c>
      <c r="J23" s="59" t="s">
        <v>80</v>
      </c>
      <c r="K23" s="92">
        <v>1</v>
      </c>
      <c r="L23" s="92">
        <v>1</v>
      </c>
      <c r="M23" s="92">
        <v>0</v>
      </c>
      <c r="N23" s="92">
        <v>1</v>
      </c>
      <c r="O23" s="92">
        <v>1</v>
      </c>
      <c r="P23" s="59" t="s">
        <v>99</v>
      </c>
      <c r="Q23" s="84">
        <v>46179</v>
      </c>
      <c r="R23" s="85"/>
      <c r="S23" s="52">
        <f t="shared" si="1"/>
        <v>0.8</v>
      </c>
    </row>
    <row r="24" spans="1:19" s="7" customFormat="1" ht="18" customHeight="1">
      <c r="A24" s="62" t="s">
        <v>42</v>
      </c>
      <c r="B24" s="67" t="s">
        <v>69</v>
      </c>
      <c r="C24" s="21" t="s">
        <v>29</v>
      </c>
      <c r="D24" s="21" t="s">
        <v>22</v>
      </c>
      <c r="E24" s="21" t="s">
        <v>31</v>
      </c>
      <c r="F24" s="21">
        <v>90</v>
      </c>
      <c r="G24" s="21" t="s">
        <v>13</v>
      </c>
      <c r="H24" s="21">
        <v>23</v>
      </c>
      <c r="I24" s="21" t="s">
        <v>2</v>
      </c>
      <c r="J24" s="59" t="s">
        <v>80</v>
      </c>
      <c r="K24" s="92">
        <v>1</v>
      </c>
      <c r="L24" s="92">
        <v>1</v>
      </c>
      <c r="M24" s="92">
        <v>1</v>
      </c>
      <c r="N24" s="92">
        <v>1</v>
      </c>
      <c r="O24" s="92">
        <v>1</v>
      </c>
      <c r="P24" s="59" t="s">
        <v>120</v>
      </c>
      <c r="Q24" s="84">
        <v>46182</v>
      </c>
      <c r="R24" s="85">
        <v>46186</v>
      </c>
      <c r="S24" s="52">
        <f t="shared" si="1"/>
        <v>1</v>
      </c>
    </row>
    <row r="25" spans="1:19" s="7" customFormat="1" ht="18" customHeight="1">
      <c r="A25" s="62" t="s">
        <v>42</v>
      </c>
      <c r="B25" s="67" t="s">
        <v>69</v>
      </c>
      <c r="C25" s="21" t="s">
        <v>29</v>
      </c>
      <c r="D25" s="21" t="s">
        <v>22</v>
      </c>
      <c r="E25" s="21" t="s">
        <v>31</v>
      </c>
      <c r="F25" s="21">
        <v>91</v>
      </c>
      <c r="G25" s="21" t="s">
        <v>13</v>
      </c>
      <c r="H25" s="21">
        <v>24</v>
      </c>
      <c r="I25" s="21" t="s">
        <v>2</v>
      </c>
      <c r="J25" s="59" t="s">
        <v>80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59"/>
      <c r="Q25" s="84">
        <v>46178</v>
      </c>
      <c r="R25" s="85">
        <v>46179</v>
      </c>
      <c r="S25" s="52">
        <f t="shared" si="1"/>
        <v>0</v>
      </c>
    </row>
    <row r="26" spans="1:19" s="7" customFormat="1" ht="18" customHeight="1">
      <c r="A26" s="62" t="s">
        <v>42</v>
      </c>
      <c r="B26" s="67" t="s">
        <v>69</v>
      </c>
      <c r="C26" s="21" t="s">
        <v>29</v>
      </c>
      <c r="D26" s="21" t="s">
        <v>22</v>
      </c>
      <c r="E26" s="21" t="s">
        <v>31</v>
      </c>
      <c r="F26" s="21">
        <v>92</v>
      </c>
      <c r="G26" s="21" t="s">
        <v>13</v>
      </c>
      <c r="H26" s="21">
        <v>25</v>
      </c>
      <c r="I26" s="21" t="s">
        <v>2</v>
      </c>
      <c r="J26" s="59" t="s">
        <v>80</v>
      </c>
      <c r="K26" s="92">
        <v>1</v>
      </c>
      <c r="L26" s="92">
        <v>1</v>
      </c>
      <c r="M26" s="92">
        <v>1</v>
      </c>
      <c r="N26" s="92">
        <v>1</v>
      </c>
      <c r="O26" s="92">
        <v>1</v>
      </c>
      <c r="P26" s="59" t="s">
        <v>120</v>
      </c>
      <c r="Q26" s="84">
        <v>46182</v>
      </c>
      <c r="R26" s="85">
        <v>46186</v>
      </c>
      <c r="S26" s="52">
        <f t="shared" si="1"/>
        <v>1</v>
      </c>
    </row>
    <row r="27" spans="1:19" s="7" customFormat="1" ht="18" customHeight="1">
      <c r="A27" s="62" t="s">
        <v>42</v>
      </c>
      <c r="B27" s="67" t="s">
        <v>69</v>
      </c>
      <c r="C27" s="21" t="s">
        <v>29</v>
      </c>
      <c r="D27" s="21" t="s">
        <v>22</v>
      </c>
      <c r="E27" s="21" t="s">
        <v>31</v>
      </c>
      <c r="F27" s="21">
        <v>93</v>
      </c>
      <c r="G27" s="21" t="s">
        <v>13</v>
      </c>
      <c r="H27" s="21">
        <v>26</v>
      </c>
      <c r="I27" s="21" t="s">
        <v>2</v>
      </c>
      <c r="J27" s="59" t="s">
        <v>80</v>
      </c>
      <c r="K27" s="91">
        <v>1</v>
      </c>
      <c r="L27" s="93">
        <v>1</v>
      </c>
      <c r="M27" s="93">
        <v>1</v>
      </c>
      <c r="N27" s="93">
        <v>1</v>
      </c>
      <c r="O27" s="93">
        <v>1</v>
      </c>
      <c r="P27" s="59" t="s">
        <v>101</v>
      </c>
      <c r="Q27" s="84">
        <v>46178</v>
      </c>
      <c r="R27" s="84">
        <v>46178</v>
      </c>
      <c r="S27" s="52">
        <f>IFERROR(COUNTIF(L27:P27,1)/(COUNTIF(L27:P27,1)+COUNTIF(L27:P27,0)),0)</f>
        <v>1</v>
      </c>
    </row>
    <row r="28" spans="1:19" s="7" customFormat="1" ht="18" customHeight="1">
      <c r="A28" s="62" t="s">
        <v>42</v>
      </c>
      <c r="B28" s="68" t="s">
        <v>69</v>
      </c>
      <c r="C28" s="20" t="s">
        <v>29</v>
      </c>
      <c r="D28" s="20" t="s">
        <v>22</v>
      </c>
      <c r="E28" s="20" t="s">
        <v>31</v>
      </c>
      <c r="F28" s="20">
        <v>94</v>
      </c>
      <c r="G28" s="20" t="s">
        <v>14</v>
      </c>
      <c r="H28" s="20">
        <v>27</v>
      </c>
      <c r="I28" s="20" t="s">
        <v>1</v>
      </c>
      <c r="J28" s="59" t="s">
        <v>80</v>
      </c>
      <c r="K28" s="92">
        <v>0</v>
      </c>
      <c r="L28" s="92">
        <v>1</v>
      </c>
      <c r="M28" s="92">
        <v>0</v>
      </c>
      <c r="N28" s="92">
        <v>1</v>
      </c>
      <c r="O28" s="92">
        <v>1</v>
      </c>
      <c r="P28" s="59" t="s">
        <v>103</v>
      </c>
      <c r="Q28" s="84">
        <v>46181</v>
      </c>
      <c r="R28" s="85"/>
      <c r="S28" s="52">
        <f t="shared" ref="S28:S36" si="2">IFERROR(COUNTIF(K28:P28,1)/(COUNTIF(K28:P28,1)+COUNTIF(K28:P28,0)),0)</f>
        <v>0.6</v>
      </c>
    </row>
    <row r="29" spans="1:19" s="7" customFormat="1" ht="18" customHeight="1">
      <c r="A29" s="62" t="s">
        <v>42</v>
      </c>
      <c r="B29" s="68" t="s">
        <v>69</v>
      </c>
      <c r="C29" s="20" t="s">
        <v>29</v>
      </c>
      <c r="D29" s="20" t="s">
        <v>22</v>
      </c>
      <c r="E29" s="20" t="s">
        <v>31</v>
      </c>
      <c r="F29" s="20">
        <v>95</v>
      </c>
      <c r="G29" s="20" t="s">
        <v>14</v>
      </c>
      <c r="H29" s="20">
        <v>28</v>
      </c>
      <c r="I29" s="20" t="s">
        <v>1</v>
      </c>
      <c r="J29" s="59" t="s">
        <v>80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59"/>
      <c r="Q29" s="84"/>
      <c r="R29" s="85"/>
      <c r="S29" s="52">
        <f t="shared" si="2"/>
        <v>0</v>
      </c>
    </row>
    <row r="30" spans="1:19" s="7" customFormat="1" ht="18" customHeight="1">
      <c r="A30" s="62" t="s">
        <v>42</v>
      </c>
      <c r="B30" s="68" t="s">
        <v>69</v>
      </c>
      <c r="C30" s="20" t="s">
        <v>29</v>
      </c>
      <c r="D30" s="20" t="s">
        <v>22</v>
      </c>
      <c r="E30" s="20" t="s">
        <v>31</v>
      </c>
      <c r="F30" s="20">
        <v>97</v>
      </c>
      <c r="G30" s="20" t="s">
        <v>14</v>
      </c>
      <c r="H30" s="20">
        <v>29</v>
      </c>
      <c r="I30" s="20" t="s">
        <v>1</v>
      </c>
      <c r="J30" s="59" t="s">
        <v>80</v>
      </c>
      <c r="K30" s="92">
        <v>1</v>
      </c>
      <c r="L30" s="92">
        <v>0</v>
      </c>
      <c r="M30" s="92">
        <v>0</v>
      </c>
      <c r="N30" s="92">
        <v>0</v>
      </c>
      <c r="O30" s="92">
        <v>0</v>
      </c>
      <c r="P30" s="59" t="s">
        <v>121</v>
      </c>
      <c r="Q30" s="84">
        <v>46185</v>
      </c>
      <c r="R30" s="85"/>
      <c r="S30" s="52">
        <f t="shared" si="2"/>
        <v>0.2</v>
      </c>
    </row>
    <row r="31" spans="1:19" s="7" customFormat="1" ht="18" customHeight="1">
      <c r="A31" s="62" t="s">
        <v>42</v>
      </c>
      <c r="B31" s="68" t="s">
        <v>69</v>
      </c>
      <c r="C31" s="20" t="s">
        <v>29</v>
      </c>
      <c r="D31" s="20" t="s">
        <v>22</v>
      </c>
      <c r="E31" s="20" t="s">
        <v>31</v>
      </c>
      <c r="F31" s="20">
        <v>99</v>
      </c>
      <c r="G31" s="20" t="s">
        <v>14</v>
      </c>
      <c r="H31" s="20">
        <v>30</v>
      </c>
      <c r="I31" s="20" t="s">
        <v>1</v>
      </c>
      <c r="J31" s="59" t="s">
        <v>80</v>
      </c>
      <c r="K31" s="92">
        <v>1</v>
      </c>
      <c r="L31" s="92">
        <v>0</v>
      </c>
      <c r="M31" s="92">
        <v>0</v>
      </c>
      <c r="N31" s="92">
        <v>0</v>
      </c>
      <c r="O31" s="92">
        <v>0</v>
      </c>
      <c r="P31" s="59"/>
      <c r="Q31" s="84">
        <v>46176</v>
      </c>
      <c r="R31" s="85">
        <v>46176</v>
      </c>
      <c r="S31" s="52">
        <f t="shared" si="2"/>
        <v>0.2</v>
      </c>
    </row>
    <row r="32" spans="1:19" s="7" customFormat="1" ht="18" customHeight="1">
      <c r="A32" s="62" t="s">
        <v>42</v>
      </c>
      <c r="B32" s="68" t="s">
        <v>69</v>
      </c>
      <c r="C32" s="20" t="s">
        <v>29</v>
      </c>
      <c r="D32" s="20" t="s">
        <v>22</v>
      </c>
      <c r="E32" s="20" t="s">
        <v>31</v>
      </c>
      <c r="F32" s="20">
        <v>100</v>
      </c>
      <c r="G32" s="20" t="s">
        <v>14</v>
      </c>
      <c r="H32" s="20">
        <v>31</v>
      </c>
      <c r="I32" s="20" t="s">
        <v>1</v>
      </c>
      <c r="J32" s="59" t="s">
        <v>80</v>
      </c>
      <c r="K32" s="91">
        <v>1</v>
      </c>
      <c r="L32" s="91">
        <v>1</v>
      </c>
      <c r="M32" s="93">
        <v>1</v>
      </c>
      <c r="N32" s="93">
        <v>1</v>
      </c>
      <c r="O32" s="93">
        <v>1</v>
      </c>
      <c r="P32" s="59" t="s">
        <v>100</v>
      </c>
      <c r="Q32" s="84">
        <v>46177</v>
      </c>
      <c r="R32" s="85">
        <v>46178</v>
      </c>
      <c r="S32" s="52">
        <f t="shared" si="2"/>
        <v>1</v>
      </c>
    </row>
    <row r="33" spans="1:19" s="7" customFormat="1" ht="18" customHeight="1">
      <c r="A33" s="62" t="s">
        <v>42</v>
      </c>
      <c r="B33" s="68" t="s">
        <v>69</v>
      </c>
      <c r="C33" s="20" t="s">
        <v>29</v>
      </c>
      <c r="D33" s="20" t="s">
        <v>22</v>
      </c>
      <c r="E33" s="20" t="s">
        <v>31</v>
      </c>
      <c r="F33" s="20">
        <v>101</v>
      </c>
      <c r="G33" s="20" t="s">
        <v>14</v>
      </c>
      <c r="H33" s="20">
        <v>32</v>
      </c>
      <c r="I33" s="20" t="s">
        <v>1</v>
      </c>
      <c r="J33" s="59" t="s">
        <v>80</v>
      </c>
      <c r="K33" s="92">
        <v>1</v>
      </c>
      <c r="L33" s="92">
        <v>0</v>
      </c>
      <c r="M33" s="92">
        <v>0</v>
      </c>
      <c r="N33" s="92">
        <v>0</v>
      </c>
      <c r="O33" s="92">
        <v>0</v>
      </c>
      <c r="P33" s="59" t="s">
        <v>98</v>
      </c>
      <c r="Q33" s="84">
        <v>46177</v>
      </c>
      <c r="R33" s="85"/>
      <c r="S33" s="52">
        <f t="shared" si="2"/>
        <v>0.2</v>
      </c>
    </row>
    <row r="34" spans="1:19" s="7" customFormat="1" ht="18" customHeight="1">
      <c r="A34" s="62" t="s">
        <v>42</v>
      </c>
      <c r="B34" s="69" t="s">
        <v>69</v>
      </c>
      <c r="C34" s="14" t="s">
        <v>29</v>
      </c>
      <c r="D34" s="14" t="s">
        <v>23</v>
      </c>
      <c r="E34" s="14" t="s">
        <v>32</v>
      </c>
      <c r="F34" s="14">
        <v>103</v>
      </c>
      <c r="G34" s="14" t="s">
        <v>14</v>
      </c>
      <c r="H34" s="14">
        <v>33</v>
      </c>
      <c r="I34" s="14" t="s">
        <v>20</v>
      </c>
      <c r="J34" s="59" t="s">
        <v>80</v>
      </c>
      <c r="K34" s="92">
        <v>0</v>
      </c>
      <c r="L34" s="92">
        <v>0</v>
      </c>
      <c r="M34" s="92">
        <v>0</v>
      </c>
      <c r="N34" s="92">
        <v>0</v>
      </c>
      <c r="O34" s="92">
        <v>0</v>
      </c>
      <c r="P34" s="59" t="s">
        <v>104</v>
      </c>
      <c r="Q34" s="84"/>
      <c r="R34" s="85"/>
      <c r="S34" s="52">
        <f t="shared" si="2"/>
        <v>0</v>
      </c>
    </row>
    <row r="35" spans="1:19" s="7" customFormat="1" ht="18" customHeight="1">
      <c r="A35" s="62" t="s">
        <v>42</v>
      </c>
      <c r="B35" s="69" t="s">
        <v>69</v>
      </c>
      <c r="C35" s="14" t="s">
        <v>29</v>
      </c>
      <c r="D35" s="14" t="s">
        <v>23</v>
      </c>
      <c r="E35" s="14" t="s">
        <v>32</v>
      </c>
      <c r="F35" s="14">
        <v>106</v>
      </c>
      <c r="G35" s="14" t="s">
        <v>14</v>
      </c>
      <c r="H35" s="14">
        <v>34</v>
      </c>
      <c r="I35" s="14" t="s">
        <v>20</v>
      </c>
      <c r="J35" s="59" t="s">
        <v>80</v>
      </c>
      <c r="K35" s="92">
        <v>1</v>
      </c>
      <c r="L35" s="92">
        <v>1</v>
      </c>
      <c r="M35" s="92">
        <v>0</v>
      </c>
      <c r="N35" s="92">
        <v>1</v>
      </c>
      <c r="O35" s="92">
        <v>1</v>
      </c>
      <c r="P35" s="59" t="s">
        <v>104</v>
      </c>
      <c r="Q35" s="84">
        <v>46181</v>
      </c>
      <c r="R35" s="85"/>
      <c r="S35" s="52">
        <f t="shared" si="2"/>
        <v>0.8</v>
      </c>
    </row>
    <row r="36" spans="1:19" s="7" customFormat="1" ht="18" customHeight="1">
      <c r="A36" s="62" t="s">
        <v>42</v>
      </c>
      <c r="B36" s="69" t="s">
        <v>69</v>
      </c>
      <c r="C36" s="14" t="s">
        <v>29</v>
      </c>
      <c r="D36" s="14" t="s">
        <v>23</v>
      </c>
      <c r="E36" s="14" t="s">
        <v>32</v>
      </c>
      <c r="F36" s="14">
        <v>107</v>
      </c>
      <c r="G36" s="14" t="s">
        <v>14</v>
      </c>
      <c r="H36" s="14">
        <v>35</v>
      </c>
      <c r="I36" s="14" t="s">
        <v>20</v>
      </c>
      <c r="J36" s="59" t="s">
        <v>80</v>
      </c>
      <c r="K36" s="92">
        <v>1</v>
      </c>
      <c r="L36" s="92">
        <v>1</v>
      </c>
      <c r="M36" s="92">
        <v>0</v>
      </c>
      <c r="N36" s="92">
        <v>1</v>
      </c>
      <c r="O36" s="92">
        <v>1</v>
      </c>
      <c r="P36" s="59"/>
      <c r="Q36" s="84">
        <v>46182</v>
      </c>
      <c r="R36" s="85"/>
      <c r="S36" s="52">
        <f t="shared" si="2"/>
        <v>0.8</v>
      </c>
    </row>
    <row r="37" spans="1:19" s="7" customFormat="1" ht="18" customHeight="1">
      <c r="A37" s="62" t="s">
        <v>42</v>
      </c>
      <c r="B37" s="69" t="s">
        <v>69</v>
      </c>
      <c r="C37" s="14" t="s">
        <v>29</v>
      </c>
      <c r="D37" s="14" t="s">
        <v>23</v>
      </c>
      <c r="E37" s="14" t="s">
        <v>32</v>
      </c>
      <c r="F37" s="14">
        <v>111</v>
      </c>
      <c r="G37" s="14" t="s">
        <v>14</v>
      </c>
      <c r="H37" s="14">
        <v>36</v>
      </c>
      <c r="I37" s="14" t="s">
        <v>20</v>
      </c>
      <c r="J37" s="59" t="s">
        <v>80</v>
      </c>
      <c r="K37" s="92" t="s">
        <v>67</v>
      </c>
      <c r="L37" s="93">
        <v>1</v>
      </c>
      <c r="M37" s="93">
        <v>0</v>
      </c>
      <c r="N37" s="93">
        <v>1</v>
      </c>
      <c r="O37" s="93">
        <v>1</v>
      </c>
      <c r="P37" s="59" t="s">
        <v>106</v>
      </c>
      <c r="Q37" s="84">
        <v>46183</v>
      </c>
      <c r="R37" s="85"/>
      <c r="S37" s="52">
        <f>IFERROR(COUNTIF(L37:P37,1)/(COUNTIF(L37:P37,1)+COUNTIF(L37:P37,0)),0)</f>
        <v>0.75</v>
      </c>
    </row>
    <row r="38" spans="1:19" s="7" customFormat="1" ht="18" customHeight="1">
      <c r="A38" s="55" t="s">
        <v>43</v>
      </c>
      <c r="B38" s="70" t="s">
        <v>69</v>
      </c>
      <c r="C38" s="71" t="s">
        <v>37</v>
      </c>
      <c r="D38" s="71" t="s">
        <v>35</v>
      </c>
      <c r="E38" s="71" t="s">
        <v>36</v>
      </c>
      <c r="F38" s="71">
        <v>145</v>
      </c>
      <c r="G38" s="71" t="s">
        <v>14</v>
      </c>
      <c r="H38" s="71">
        <v>37</v>
      </c>
      <c r="I38" s="71" t="s">
        <v>12</v>
      </c>
      <c r="J38" s="59" t="s">
        <v>80</v>
      </c>
      <c r="K38" s="92" t="s">
        <v>67</v>
      </c>
      <c r="L38" s="93">
        <v>1</v>
      </c>
      <c r="M38" s="93">
        <v>0</v>
      </c>
      <c r="N38" s="93">
        <v>1</v>
      </c>
      <c r="O38" s="93">
        <v>1</v>
      </c>
      <c r="P38" s="59" t="s">
        <v>117</v>
      </c>
      <c r="Q38" s="84">
        <v>46181</v>
      </c>
      <c r="R38" s="85"/>
      <c r="S38" s="52">
        <f>IFERROR(COUNTIF(L38:P38,1)/(COUNTIF(L38:P38,1)+COUNTIF(L38:P38,0)),0)</f>
        <v>0.75</v>
      </c>
    </row>
    <row r="39" spans="1:19" s="7" customFormat="1" ht="18" customHeight="1">
      <c r="A39" s="55" t="s">
        <v>43</v>
      </c>
      <c r="B39" s="70" t="s">
        <v>69</v>
      </c>
      <c r="C39" s="71" t="s">
        <v>37</v>
      </c>
      <c r="D39" s="71" t="s">
        <v>35</v>
      </c>
      <c r="E39" s="71" t="s">
        <v>36</v>
      </c>
      <c r="F39" s="71">
        <v>146</v>
      </c>
      <c r="G39" s="71" t="s">
        <v>14</v>
      </c>
      <c r="H39" s="71">
        <v>38</v>
      </c>
      <c r="I39" s="71" t="s">
        <v>12</v>
      </c>
      <c r="J39" s="59" t="s">
        <v>80</v>
      </c>
      <c r="K39" s="93">
        <v>1</v>
      </c>
      <c r="L39" s="93">
        <v>1</v>
      </c>
      <c r="M39" s="92">
        <v>0</v>
      </c>
      <c r="N39" s="93">
        <v>1</v>
      </c>
      <c r="O39" s="93">
        <v>1</v>
      </c>
      <c r="P39" s="59" t="s">
        <v>115</v>
      </c>
      <c r="Q39" s="84">
        <v>46178</v>
      </c>
      <c r="R39" s="85"/>
      <c r="S39" s="52">
        <f>IFERROR(COUNTIF(K39:P39,1)/(COUNTIF(K39:P39,1)+COUNTIF(K39:P39,0)),0)</f>
        <v>0.8</v>
      </c>
    </row>
    <row r="40" spans="1:19" s="7" customFormat="1" ht="18" customHeight="1">
      <c r="A40" s="55" t="s">
        <v>43</v>
      </c>
      <c r="B40" s="70" t="s">
        <v>69</v>
      </c>
      <c r="C40" s="71" t="s">
        <v>37</v>
      </c>
      <c r="D40" s="71" t="s">
        <v>35</v>
      </c>
      <c r="E40" s="71" t="s">
        <v>36</v>
      </c>
      <c r="F40" s="71">
        <v>147</v>
      </c>
      <c r="G40" s="71" t="s">
        <v>14</v>
      </c>
      <c r="H40" s="71">
        <v>39</v>
      </c>
      <c r="I40" s="71" t="s">
        <v>12</v>
      </c>
      <c r="J40" s="59" t="s">
        <v>80</v>
      </c>
      <c r="K40" s="92" t="s">
        <v>67</v>
      </c>
      <c r="L40" s="93">
        <v>1</v>
      </c>
      <c r="M40" s="93">
        <v>1</v>
      </c>
      <c r="N40" s="93">
        <v>1</v>
      </c>
      <c r="O40" s="93">
        <v>1</v>
      </c>
      <c r="P40" s="59" t="s">
        <v>115</v>
      </c>
      <c r="Q40" s="84">
        <v>46176</v>
      </c>
      <c r="R40" s="85">
        <v>46184</v>
      </c>
      <c r="S40" s="52">
        <f>IFERROR(COUNTIF(L40:P40,1)/(COUNTIF(L40:P40,1)+COUNTIF(L40:P40,0)),0)</f>
        <v>1</v>
      </c>
    </row>
    <row r="41" spans="1:19" s="7" customFormat="1" ht="18" customHeight="1">
      <c r="A41" s="55" t="s">
        <v>43</v>
      </c>
      <c r="B41" s="70" t="s">
        <v>69</v>
      </c>
      <c r="C41" s="71" t="s">
        <v>37</v>
      </c>
      <c r="D41" s="71" t="s">
        <v>35</v>
      </c>
      <c r="E41" s="71" t="s">
        <v>36</v>
      </c>
      <c r="F41" s="71">
        <v>148</v>
      </c>
      <c r="G41" s="71" t="s">
        <v>14</v>
      </c>
      <c r="H41" s="71">
        <v>40</v>
      </c>
      <c r="I41" s="71" t="s">
        <v>12</v>
      </c>
      <c r="J41" s="59" t="s">
        <v>80</v>
      </c>
      <c r="K41" s="92" t="s">
        <v>67</v>
      </c>
      <c r="L41" s="93">
        <v>1</v>
      </c>
      <c r="M41" s="93">
        <v>1</v>
      </c>
      <c r="N41" s="93">
        <v>1</v>
      </c>
      <c r="O41" s="93">
        <v>1</v>
      </c>
      <c r="P41" s="59"/>
      <c r="Q41" s="84">
        <v>46177</v>
      </c>
      <c r="R41" s="85">
        <v>46182</v>
      </c>
      <c r="S41" s="52">
        <f>IFERROR(COUNTIF(L41:P41,1)/(COUNTIF(L41:P41,1)+COUNTIF(L41:P41,0)),0)</f>
        <v>1</v>
      </c>
    </row>
    <row r="42" spans="1:19" s="7" customFormat="1" ht="18" customHeight="1">
      <c r="A42" s="55" t="s">
        <v>43</v>
      </c>
      <c r="B42" s="70" t="s">
        <v>69</v>
      </c>
      <c r="C42" s="71" t="s">
        <v>37</v>
      </c>
      <c r="D42" s="71" t="s">
        <v>35</v>
      </c>
      <c r="E42" s="71" t="s">
        <v>36</v>
      </c>
      <c r="F42" s="71">
        <v>149</v>
      </c>
      <c r="G42" s="71" t="s">
        <v>14</v>
      </c>
      <c r="H42" s="71">
        <v>41</v>
      </c>
      <c r="I42" s="71" t="s">
        <v>12</v>
      </c>
      <c r="J42" s="59" t="s">
        <v>80</v>
      </c>
      <c r="K42" s="92" t="s">
        <v>67</v>
      </c>
      <c r="L42" s="93">
        <v>1</v>
      </c>
      <c r="M42" s="93">
        <v>0</v>
      </c>
      <c r="N42" s="93">
        <v>1</v>
      </c>
      <c r="O42" s="93">
        <v>1</v>
      </c>
      <c r="P42" s="59"/>
      <c r="Q42" s="84">
        <v>46182</v>
      </c>
      <c r="R42" s="85"/>
      <c r="S42" s="52">
        <f>IFERROR(COUNTIF(L42:P42,1)/(COUNTIF(L42:P42,1)+COUNTIF(L42:P42,0)),0)</f>
        <v>0.75</v>
      </c>
    </row>
    <row r="43" spans="1:19" s="7" customFormat="1" ht="18" customHeight="1">
      <c r="A43" s="55" t="s">
        <v>43</v>
      </c>
      <c r="B43" s="72" t="s">
        <v>69</v>
      </c>
      <c r="C43" s="73" t="s">
        <v>37</v>
      </c>
      <c r="D43" s="73" t="s">
        <v>38</v>
      </c>
      <c r="E43" s="73" t="s">
        <v>39</v>
      </c>
      <c r="F43" s="73">
        <v>150</v>
      </c>
      <c r="G43" s="73" t="s">
        <v>14</v>
      </c>
      <c r="H43" s="73">
        <v>42</v>
      </c>
      <c r="I43" s="73" t="s">
        <v>21</v>
      </c>
      <c r="J43" s="59" t="s">
        <v>80</v>
      </c>
      <c r="K43" s="92">
        <v>0</v>
      </c>
      <c r="L43" s="92">
        <v>0</v>
      </c>
      <c r="M43" s="92">
        <v>0</v>
      </c>
      <c r="N43" s="92">
        <v>0</v>
      </c>
      <c r="O43" s="92">
        <v>0</v>
      </c>
      <c r="P43" s="59" t="s">
        <v>123</v>
      </c>
      <c r="Q43" s="84">
        <v>46183</v>
      </c>
      <c r="R43" s="85"/>
      <c r="S43" s="52">
        <f>IFERROR(COUNTIF(K43:P43,1)/(COUNTIF(K43:P43,1)+COUNTIF(K43:P43,0)),0)</f>
        <v>0</v>
      </c>
    </row>
    <row r="44" spans="1:19" s="7" customFormat="1" ht="18" customHeight="1">
      <c r="A44" s="55" t="s">
        <v>43</v>
      </c>
      <c r="B44" s="72" t="s">
        <v>69</v>
      </c>
      <c r="C44" s="73" t="s">
        <v>37</v>
      </c>
      <c r="D44" s="73" t="s">
        <v>38</v>
      </c>
      <c r="E44" s="73" t="s">
        <v>39</v>
      </c>
      <c r="F44" s="73">
        <v>151</v>
      </c>
      <c r="G44" s="73" t="s">
        <v>14</v>
      </c>
      <c r="H44" s="73">
        <v>43</v>
      </c>
      <c r="I44" s="73" t="s">
        <v>21</v>
      </c>
      <c r="J44" s="59" t="s">
        <v>80</v>
      </c>
      <c r="K44" s="91">
        <v>0</v>
      </c>
      <c r="L44" s="92">
        <v>0</v>
      </c>
      <c r="M44" s="92">
        <v>0</v>
      </c>
      <c r="N44" s="92">
        <v>0</v>
      </c>
      <c r="O44" s="92">
        <v>0</v>
      </c>
      <c r="P44" s="59" t="s">
        <v>105</v>
      </c>
      <c r="Q44" s="84">
        <v>46185</v>
      </c>
      <c r="R44" s="85"/>
      <c r="S44" s="52">
        <f>IFERROR(COUNTIF(L44:P44,1)/(COUNTIF(L44:P44,1)+COUNTIF(L44:P44,0)),0)</f>
        <v>0</v>
      </c>
    </row>
    <row r="45" spans="1:19" s="7" customFormat="1" ht="18" customHeight="1">
      <c r="A45" s="55" t="s">
        <v>43</v>
      </c>
      <c r="B45" s="72" t="s">
        <v>69</v>
      </c>
      <c r="C45" s="73" t="s">
        <v>37</v>
      </c>
      <c r="D45" s="73" t="s">
        <v>38</v>
      </c>
      <c r="E45" s="73" t="s">
        <v>39</v>
      </c>
      <c r="F45" s="73">
        <v>152</v>
      </c>
      <c r="G45" s="73" t="s">
        <v>14</v>
      </c>
      <c r="H45" s="73">
        <v>44</v>
      </c>
      <c r="I45" s="73" t="s">
        <v>21</v>
      </c>
      <c r="J45" s="59" t="s">
        <v>80</v>
      </c>
      <c r="K45" s="92">
        <v>0</v>
      </c>
      <c r="L45" s="92">
        <v>0</v>
      </c>
      <c r="M45" s="92">
        <v>0</v>
      </c>
      <c r="N45" s="92">
        <v>0</v>
      </c>
      <c r="O45" s="92">
        <v>0</v>
      </c>
      <c r="P45" s="59"/>
      <c r="Q45" s="84">
        <v>46191</v>
      </c>
      <c r="R45" s="85">
        <v>46192</v>
      </c>
      <c r="S45" s="52">
        <f>IFERROR(COUNTIF(K45:P45,1)/(COUNTIF(K45:P45,1)+COUNTIF(K45:P45,0)),0)</f>
        <v>0</v>
      </c>
    </row>
    <row r="46" spans="1:19" s="7" customFormat="1" ht="18" customHeight="1">
      <c r="A46" s="55" t="s">
        <v>43</v>
      </c>
      <c r="B46" s="72" t="s">
        <v>69</v>
      </c>
      <c r="C46" s="73" t="s">
        <v>37</v>
      </c>
      <c r="D46" s="73" t="s">
        <v>38</v>
      </c>
      <c r="E46" s="73" t="s">
        <v>39</v>
      </c>
      <c r="F46" s="73">
        <v>153</v>
      </c>
      <c r="G46" s="73" t="s">
        <v>14</v>
      </c>
      <c r="H46" s="73">
        <v>45</v>
      </c>
      <c r="I46" s="73" t="s">
        <v>21</v>
      </c>
      <c r="J46" s="59" t="s">
        <v>80</v>
      </c>
      <c r="K46" s="92">
        <v>1</v>
      </c>
      <c r="L46" s="92">
        <v>0</v>
      </c>
      <c r="M46" s="92">
        <v>0</v>
      </c>
      <c r="N46" s="92">
        <v>0</v>
      </c>
      <c r="O46" s="92">
        <v>0</v>
      </c>
      <c r="P46" s="59" t="s">
        <v>104</v>
      </c>
      <c r="Q46" s="84">
        <v>46184</v>
      </c>
      <c r="R46" s="85"/>
      <c r="S46" s="52">
        <f>IFERROR(COUNTIF(K46:P46,1)/(COUNTIF(K46:P46,1)+COUNTIF(K46:P46,0)),0)</f>
        <v>0.2</v>
      </c>
    </row>
    <row r="47" spans="1:19" s="7" customFormat="1" ht="18" customHeight="1">
      <c r="A47" s="62" t="s">
        <v>44</v>
      </c>
      <c r="B47" s="74" t="s">
        <v>69</v>
      </c>
      <c r="C47" s="75" t="s">
        <v>9</v>
      </c>
      <c r="D47" s="75" t="s">
        <v>6</v>
      </c>
      <c r="E47" s="75" t="s">
        <v>33</v>
      </c>
      <c r="F47" s="75">
        <v>160</v>
      </c>
      <c r="G47" s="75" t="s">
        <v>15</v>
      </c>
      <c r="H47" s="75">
        <v>46</v>
      </c>
      <c r="I47" s="75" t="s">
        <v>8</v>
      </c>
      <c r="J47" s="59" t="s">
        <v>80</v>
      </c>
      <c r="K47" s="91">
        <v>1</v>
      </c>
      <c r="L47" s="94">
        <v>1</v>
      </c>
      <c r="M47" s="94">
        <v>1</v>
      </c>
      <c r="N47" s="94">
        <v>1</v>
      </c>
      <c r="O47" s="94">
        <v>1</v>
      </c>
      <c r="P47" s="59"/>
      <c r="Q47" s="84">
        <v>46169</v>
      </c>
      <c r="R47" s="85">
        <v>46171</v>
      </c>
      <c r="S47" s="52">
        <f>IFERROR(COUNTIF(L47:P47,1)/(COUNTIF(L47:P47,1)+COUNTIF(L47:P47,0)),0)</f>
        <v>1</v>
      </c>
    </row>
    <row r="48" spans="1:19" s="7" customFormat="1" ht="18" customHeight="1">
      <c r="A48" s="62" t="s">
        <v>44</v>
      </c>
      <c r="B48" s="74" t="s">
        <v>69</v>
      </c>
      <c r="C48" s="75" t="s">
        <v>9</v>
      </c>
      <c r="D48" s="75" t="s">
        <v>6</v>
      </c>
      <c r="E48" s="75" t="s">
        <v>33</v>
      </c>
      <c r="F48" s="75">
        <v>161</v>
      </c>
      <c r="G48" s="75" t="s">
        <v>15</v>
      </c>
      <c r="H48" s="75">
        <v>47</v>
      </c>
      <c r="I48" s="75" t="s">
        <v>8</v>
      </c>
      <c r="J48" s="59" t="s">
        <v>80</v>
      </c>
      <c r="K48" s="92">
        <v>1</v>
      </c>
      <c r="L48" s="92">
        <v>1</v>
      </c>
      <c r="M48" s="92">
        <v>1</v>
      </c>
      <c r="N48" s="92">
        <v>1</v>
      </c>
      <c r="O48" s="92">
        <v>1</v>
      </c>
      <c r="P48" s="59" t="s">
        <v>100</v>
      </c>
      <c r="Q48" s="84">
        <v>46178</v>
      </c>
      <c r="R48" s="85">
        <v>46181</v>
      </c>
      <c r="S48" s="52">
        <f>IFERROR(COUNTIF(K48:P48,1)/(COUNTIF(K48:P48,1)+COUNTIF(K48:P48,0)),0)</f>
        <v>1</v>
      </c>
    </row>
    <row r="49" spans="1:19" s="7" customFormat="1" ht="18" customHeight="1">
      <c r="A49" s="62" t="s">
        <v>44</v>
      </c>
      <c r="B49" s="74" t="s">
        <v>69</v>
      </c>
      <c r="C49" s="75" t="s">
        <v>9</v>
      </c>
      <c r="D49" s="75" t="s">
        <v>6</v>
      </c>
      <c r="E49" s="75" t="s">
        <v>33</v>
      </c>
      <c r="F49" s="75">
        <v>163</v>
      </c>
      <c r="G49" s="75" t="s">
        <v>15</v>
      </c>
      <c r="H49" s="75">
        <v>48</v>
      </c>
      <c r="I49" s="75" t="s">
        <v>8</v>
      </c>
      <c r="J49" s="59" t="s">
        <v>80</v>
      </c>
      <c r="K49" s="91">
        <v>1</v>
      </c>
      <c r="L49" s="94">
        <v>1</v>
      </c>
      <c r="M49" s="94">
        <v>1</v>
      </c>
      <c r="N49" s="94">
        <v>1</v>
      </c>
      <c r="O49" s="94">
        <v>1</v>
      </c>
      <c r="P49" s="59"/>
      <c r="Q49" s="84">
        <v>46169</v>
      </c>
      <c r="R49" s="85">
        <v>46171</v>
      </c>
      <c r="S49" s="52">
        <f>IFERROR(COUNTIF(L49:P49,1)/(COUNTIF(L49:P49,1)+COUNTIF(L49:P49,0)),0)</f>
        <v>1</v>
      </c>
    </row>
    <row r="50" spans="1:19" s="7" customFormat="1" ht="18" customHeight="1">
      <c r="A50" s="62" t="s">
        <v>44</v>
      </c>
      <c r="B50" s="74" t="s">
        <v>69</v>
      </c>
      <c r="C50" s="75" t="s">
        <v>9</v>
      </c>
      <c r="D50" s="75" t="s">
        <v>6</v>
      </c>
      <c r="E50" s="75" t="s">
        <v>33</v>
      </c>
      <c r="F50" s="75">
        <v>164</v>
      </c>
      <c r="G50" s="75" t="s">
        <v>15</v>
      </c>
      <c r="H50" s="75">
        <v>49</v>
      </c>
      <c r="I50" s="75" t="s">
        <v>8</v>
      </c>
      <c r="J50" s="59" t="s">
        <v>80</v>
      </c>
      <c r="K50" s="91">
        <v>1</v>
      </c>
      <c r="L50" s="94">
        <v>1</v>
      </c>
      <c r="M50" s="94">
        <v>1</v>
      </c>
      <c r="N50" s="94">
        <v>1</v>
      </c>
      <c r="O50" s="94">
        <v>1</v>
      </c>
      <c r="P50" s="59"/>
      <c r="Q50" s="84">
        <v>46169</v>
      </c>
      <c r="R50" s="85">
        <v>46171</v>
      </c>
      <c r="S50" s="52">
        <f>IFERROR(COUNTIF(L50:P50,1)/(COUNTIF(L50:P50,1)+COUNTIF(L50:P50,0)),0)</f>
        <v>1</v>
      </c>
    </row>
    <row r="51" spans="1:19" s="7" customFormat="1" ht="18" customHeight="1">
      <c r="A51" s="55" t="s">
        <v>45</v>
      </c>
      <c r="B51" s="76" t="s">
        <v>69</v>
      </c>
      <c r="C51" s="77" t="s">
        <v>10</v>
      </c>
      <c r="D51" s="77" t="s">
        <v>7</v>
      </c>
      <c r="E51" s="77" t="s">
        <v>34</v>
      </c>
      <c r="F51" s="77">
        <v>165</v>
      </c>
      <c r="G51" s="77" t="s">
        <v>15</v>
      </c>
      <c r="H51" s="77">
        <v>50</v>
      </c>
      <c r="I51" s="77" t="s">
        <v>4</v>
      </c>
      <c r="J51" s="59" t="s">
        <v>80</v>
      </c>
      <c r="K51" s="91">
        <v>1</v>
      </c>
      <c r="L51" s="94">
        <v>1</v>
      </c>
      <c r="M51" s="94">
        <v>1</v>
      </c>
      <c r="N51" s="94">
        <v>1</v>
      </c>
      <c r="O51" s="94">
        <v>1</v>
      </c>
      <c r="P51" s="59"/>
      <c r="Q51" s="84">
        <v>46172</v>
      </c>
      <c r="R51" s="85">
        <v>46174</v>
      </c>
      <c r="S51" s="52">
        <f>IFERROR(COUNTIF(L51:P51,1)/(COUNTIF(L51:P51,1)+COUNTIF(L51:P51,0)),0)</f>
        <v>1</v>
      </c>
    </row>
    <row r="52" spans="1:19" s="7" customFormat="1" ht="18" customHeight="1">
      <c r="A52" s="55" t="s">
        <v>45</v>
      </c>
      <c r="B52" s="78" t="s">
        <v>69</v>
      </c>
      <c r="C52" s="79" t="s">
        <v>10</v>
      </c>
      <c r="D52" s="79" t="s">
        <v>7</v>
      </c>
      <c r="E52" s="79" t="s">
        <v>34</v>
      </c>
      <c r="F52" s="79">
        <v>173</v>
      </c>
      <c r="G52" s="79" t="s">
        <v>15</v>
      </c>
      <c r="H52" s="79">
        <v>51</v>
      </c>
      <c r="I52" s="79" t="s">
        <v>5</v>
      </c>
      <c r="J52" s="59" t="s">
        <v>80</v>
      </c>
      <c r="K52" s="95">
        <v>1</v>
      </c>
      <c r="L52" s="92">
        <v>1</v>
      </c>
      <c r="M52" s="92">
        <v>1</v>
      </c>
      <c r="N52" s="92">
        <v>1</v>
      </c>
      <c r="O52" s="92">
        <v>1</v>
      </c>
      <c r="P52" s="59"/>
      <c r="Q52" s="84">
        <v>46176</v>
      </c>
      <c r="R52" s="85">
        <v>46176</v>
      </c>
      <c r="S52" s="52">
        <f>IFERROR(COUNTIF(K52:P52,1)/(COUNTIF(K52:P52,1)+COUNTIF(K52:P52,0)),0)</f>
        <v>1</v>
      </c>
    </row>
    <row r="53" spans="1:19" s="7" customFormat="1" ht="18" customHeight="1">
      <c r="A53" s="55" t="s">
        <v>45</v>
      </c>
      <c r="B53" s="76" t="s">
        <v>69</v>
      </c>
      <c r="C53" s="77" t="s">
        <v>10</v>
      </c>
      <c r="D53" s="77" t="s">
        <v>7</v>
      </c>
      <c r="E53" s="77" t="s">
        <v>34</v>
      </c>
      <c r="F53" s="77">
        <v>174</v>
      </c>
      <c r="G53" s="77" t="s">
        <v>15</v>
      </c>
      <c r="H53" s="77">
        <v>52</v>
      </c>
      <c r="I53" s="77" t="s">
        <v>4</v>
      </c>
      <c r="J53" s="59" t="s">
        <v>80</v>
      </c>
      <c r="K53" s="95">
        <v>1</v>
      </c>
      <c r="L53" s="92">
        <v>1</v>
      </c>
      <c r="M53" s="92">
        <v>1</v>
      </c>
      <c r="N53" s="92">
        <v>1</v>
      </c>
      <c r="O53" s="92">
        <v>1</v>
      </c>
      <c r="P53" s="59"/>
      <c r="Q53" s="84">
        <v>46168</v>
      </c>
      <c r="R53" s="85">
        <v>46168</v>
      </c>
      <c r="S53" s="52">
        <f>IFERROR(COUNTIF(K53:P53,1)/(COUNTIF(K53:P53,1)+COUNTIF(K53:P53,0)),0)</f>
        <v>1</v>
      </c>
    </row>
    <row r="54" spans="1:19" s="7" customFormat="1" ht="18" customHeight="1">
      <c r="A54" s="55" t="s">
        <v>45</v>
      </c>
      <c r="B54" s="78" t="s">
        <v>69</v>
      </c>
      <c r="C54" s="79" t="s">
        <v>10</v>
      </c>
      <c r="D54" s="79" t="s">
        <v>7</v>
      </c>
      <c r="E54" s="79" t="s">
        <v>34</v>
      </c>
      <c r="F54" s="79">
        <v>175</v>
      </c>
      <c r="G54" s="79" t="s">
        <v>15</v>
      </c>
      <c r="H54" s="79">
        <v>53</v>
      </c>
      <c r="I54" s="79" t="s">
        <v>5</v>
      </c>
      <c r="J54" s="59" t="s">
        <v>80</v>
      </c>
      <c r="K54" s="91">
        <v>1</v>
      </c>
      <c r="L54" s="93">
        <v>1</v>
      </c>
      <c r="M54" s="92">
        <v>1</v>
      </c>
      <c r="N54" s="93">
        <v>1</v>
      </c>
      <c r="O54" s="93">
        <v>1</v>
      </c>
      <c r="P54" s="59" t="s">
        <v>119</v>
      </c>
      <c r="Q54" s="84">
        <v>46177</v>
      </c>
      <c r="R54" s="85">
        <v>46186</v>
      </c>
      <c r="S54" s="52">
        <f>IFERROR(COUNTIF(K54:P54,1)/(COUNTIF(K54:P54,1)+COUNTIF(K54:P54,0)),0)</f>
        <v>1</v>
      </c>
    </row>
    <row r="55" spans="1:19" s="7" customFormat="1" ht="18" customHeight="1">
      <c r="A55" s="55" t="s">
        <v>45</v>
      </c>
      <c r="B55" s="76" t="s">
        <v>69</v>
      </c>
      <c r="C55" s="77" t="s">
        <v>10</v>
      </c>
      <c r="D55" s="77" t="s">
        <v>7</v>
      </c>
      <c r="E55" s="77" t="s">
        <v>34</v>
      </c>
      <c r="F55" s="77">
        <v>176</v>
      </c>
      <c r="G55" s="77" t="s">
        <v>15</v>
      </c>
      <c r="H55" s="77">
        <v>54</v>
      </c>
      <c r="I55" s="77" t="s">
        <v>4</v>
      </c>
      <c r="J55" s="59" t="s">
        <v>80</v>
      </c>
      <c r="K55" s="91">
        <v>1</v>
      </c>
      <c r="L55" s="94">
        <v>1</v>
      </c>
      <c r="M55" s="94">
        <v>1</v>
      </c>
      <c r="N55" s="94">
        <v>1</v>
      </c>
      <c r="O55" s="94">
        <v>1</v>
      </c>
      <c r="P55" s="59"/>
      <c r="Q55" s="84">
        <v>46168</v>
      </c>
      <c r="R55" s="85">
        <v>46171</v>
      </c>
      <c r="S55" s="52">
        <f>IFERROR(COUNTIF(L55:P55,1)/(COUNTIF(L55:P55,1)+COUNTIF(L55:P55,0)),0)</f>
        <v>1</v>
      </c>
    </row>
    <row r="56" spans="1:19" s="7" customFormat="1" ht="18" customHeight="1">
      <c r="A56" s="55" t="s">
        <v>45</v>
      </c>
      <c r="B56" s="78" t="s">
        <v>69</v>
      </c>
      <c r="C56" s="79" t="s">
        <v>10</v>
      </c>
      <c r="D56" s="79" t="s">
        <v>7</v>
      </c>
      <c r="E56" s="79" t="s">
        <v>34</v>
      </c>
      <c r="F56" s="79">
        <v>177</v>
      </c>
      <c r="G56" s="79" t="s">
        <v>15</v>
      </c>
      <c r="H56" s="79">
        <v>55</v>
      </c>
      <c r="I56" s="79" t="s">
        <v>5</v>
      </c>
      <c r="J56" s="59" t="s">
        <v>80</v>
      </c>
      <c r="K56" s="91">
        <v>1</v>
      </c>
      <c r="L56" s="94">
        <v>1</v>
      </c>
      <c r="M56" s="94">
        <v>1</v>
      </c>
      <c r="N56" s="94">
        <v>1</v>
      </c>
      <c r="O56" s="94">
        <v>1</v>
      </c>
      <c r="P56" s="59"/>
      <c r="Q56" s="84">
        <v>46168</v>
      </c>
      <c r="R56" s="85">
        <v>46168</v>
      </c>
      <c r="S56" s="52">
        <f>IFERROR(COUNTIF(L56:P56,1)/(COUNTIF(L56:P56,1)+COUNTIF(L56:P56,0)),0)</f>
        <v>1</v>
      </c>
    </row>
    <row r="57" spans="1:19" s="7" customFormat="1" ht="18" customHeight="1">
      <c r="A57" s="55" t="s">
        <v>45</v>
      </c>
      <c r="B57" s="78" t="s">
        <v>69</v>
      </c>
      <c r="C57" s="79" t="s">
        <v>10</v>
      </c>
      <c r="D57" s="79" t="s">
        <v>7</v>
      </c>
      <c r="E57" s="79" t="s">
        <v>34</v>
      </c>
      <c r="F57" s="79">
        <v>178</v>
      </c>
      <c r="G57" s="79" t="s">
        <v>15</v>
      </c>
      <c r="H57" s="79">
        <v>56</v>
      </c>
      <c r="I57" s="79" t="s">
        <v>5</v>
      </c>
      <c r="J57" s="59" t="s">
        <v>80</v>
      </c>
      <c r="K57" s="91">
        <v>1</v>
      </c>
      <c r="L57" s="94">
        <v>1</v>
      </c>
      <c r="M57" s="94">
        <v>1</v>
      </c>
      <c r="N57" s="94">
        <v>1</v>
      </c>
      <c r="O57" s="94">
        <v>1</v>
      </c>
      <c r="P57" s="59"/>
      <c r="Q57" s="84">
        <v>46168</v>
      </c>
      <c r="R57" s="85">
        <v>46168</v>
      </c>
      <c r="S57" s="52">
        <f>IFERROR(COUNTIF(L57:P57,1)/(COUNTIF(L57:P57,1)+COUNTIF(L57:P57,0)),0)</f>
        <v>1</v>
      </c>
    </row>
    <row r="58" spans="1:19" s="7" customFormat="1" ht="18" customHeight="1">
      <c r="A58" s="55" t="s">
        <v>45</v>
      </c>
      <c r="B58" s="78" t="s">
        <v>69</v>
      </c>
      <c r="C58" s="79" t="s">
        <v>10</v>
      </c>
      <c r="D58" s="79" t="s">
        <v>7</v>
      </c>
      <c r="E58" s="79" t="s">
        <v>34</v>
      </c>
      <c r="F58" s="79">
        <v>179</v>
      </c>
      <c r="G58" s="79" t="s">
        <v>15</v>
      </c>
      <c r="H58" s="79">
        <v>57</v>
      </c>
      <c r="I58" s="79" t="s">
        <v>5</v>
      </c>
      <c r="J58" s="59" t="s">
        <v>80</v>
      </c>
      <c r="K58" s="91">
        <v>1</v>
      </c>
      <c r="L58" s="94">
        <v>1</v>
      </c>
      <c r="M58" s="94">
        <v>1</v>
      </c>
      <c r="N58" s="94">
        <v>1</v>
      </c>
      <c r="O58" s="94">
        <v>1</v>
      </c>
      <c r="P58" s="59"/>
      <c r="Q58" s="84">
        <v>46168</v>
      </c>
      <c r="R58" s="85">
        <v>46168</v>
      </c>
      <c r="S58" s="52">
        <f>IFERROR(COUNTIF(L58:P58,1)/(COUNTIF(L58:P58,1)+COUNTIF(L58:P58,0)),0)</f>
        <v>1</v>
      </c>
    </row>
    <row r="59" spans="1:19" s="7" customFormat="1" ht="18" customHeight="1">
      <c r="A59" s="80" t="s">
        <v>45</v>
      </c>
      <c r="B59" s="81" t="s">
        <v>69</v>
      </c>
      <c r="C59" s="82" t="s">
        <v>10</v>
      </c>
      <c r="D59" s="82" t="s">
        <v>7</v>
      </c>
      <c r="E59" s="82" t="s">
        <v>34</v>
      </c>
      <c r="F59" s="82">
        <v>180</v>
      </c>
      <c r="G59" s="82" t="s">
        <v>15</v>
      </c>
      <c r="H59" s="82">
        <v>58</v>
      </c>
      <c r="I59" s="82" t="s">
        <v>4</v>
      </c>
      <c r="J59" s="83" t="s">
        <v>80</v>
      </c>
      <c r="K59" s="96">
        <v>1</v>
      </c>
      <c r="L59" s="97">
        <v>1</v>
      </c>
      <c r="M59" s="98">
        <v>1</v>
      </c>
      <c r="N59" s="97">
        <v>1</v>
      </c>
      <c r="O59" s="97">
        <v>1</v>
      </c>
      <c r="P59" s="83"/>
      <c r="Q59" s="87">
        <v>46168</v>
      </c>
      <c r="R59" s="88">
        <v>46176</v>
      </c>
      <c r="S59" s="53">
        <f>IFERROR(COUNTIF(L59:P59,1)/(COUNTIF(L59:P59,1)+COUNTIF(L59:P59,0)),0)</f>
        <v>1</v>
      </c>
    </row>
    <row r="60" spans="1:19" ht="18.75" customHeight="1">
      <c r="C60" s="15"/>
      <c r="D60" s="15"/>
      <c r="E60" s="15"/>
      <c r="F60" s="16"/>
      <c r="G60" s="15"/>
      <c r="H60" s="15"/>
      <c r="I60" s="15"/>
      <c r="J60" s="17"/>
      <c r="K60" s="17"/>
      <c r="L60" s="17"/>
      <c r="M60" s="17"/>
      <c r="N60" s="17"/>
      <c r="O60" s="17"/>
      <c r="P60" s="15"/>
      <c r="Q60" s="99" t="s">
        <v>97</v>
      </c>
      <c r="R60" s="99"/>
      <c r="S60" s="53">
        <f>AVERAGE(Tabla4[Progreso])</f>
        <v>0.65948275862068961</v>
      </c>
    </row>
    <row r="61" spans="1:19">
      <c r="C61" s="15"/>
      <c r="D61" s="15"/>
      <c r="E61" s="15"/>
      <c r="F61" s="16"/>
      <c r="G61" s="15"/>
      <c r="H61" s="15"/>
      <c r="I61" s="15"/>
      <c r="J61" s="17"/>
      <c r="K61" s="17"/>
      <c r="L61" s="18"/>
      <c r="M61" s="17"/>
      <c r="N61" s="17"/>
      <c r="O61" s="17"/>
      <c r="P61" s="15"/>
    </row>
    <row r="62" spans="1:19">
      <c r="C62" s="15"/>
      <c r="D62" s="15"/>
      <c r="E62" s="15"/>
      <c r="F62" s="16"/>
      <c r="G62" s="15"/>
      <c r="H62" s="15"/>
      <c r="I62" s="15"/>
      <c r="J62" s="17"/>
      <c r="K62" s="17"/>
      <c r="L62" s="18"/>
      <c r="M62" s="17"/>
      <c r="N62" s="17"/>
      <c r="O62" s="17"/>
      <c r="P62" s="15"/>
    </row>
    <row r="63" spans="1:19">
      <c r="C63" s="15"/>
      <c r="D63" s="15"/>
      <c r="E63" s="15"/>
      <c r="F63" s="16"/>
      <c r="G63" s="15"/>
      <c r="H63" s="15"/>
      <c r="I63" s="15"/>
      <c r="J63" s="17"/>
      <c r="K63" s="17"/>
      <c r="L63" s="18"/>
      <c r="M63" s="17"/>
      <c r="N63" s="17"/>
      <c r="O63" s="17"/>
      <c r="P63" s="15"/>
    </row>
    <row r="64" spans="1:19">
      <c r="C64" s="15"/>
      <c r="D64" s="15"/>
      <c r="E64" s="15"/>
      <c r="F64" s="16"/>
      <c r="G64" s="15"/>
      <c r="H64" s="15"/>
      <c r="I64" s="15"/>
      <c r="J64" s="17"/>
      <c r="K64" s="17"/>
      <c r="L64" s="18"/>
      <c r="M64" s="17"/>
      <c r="N64" s="17"/>
      <c r="O64" s="17"/>
      <c r="P64" s="15"/>
    </row>
    <row r="65" spans="3:18">
      <c r="C65"/>
      <c r="D65"/>
      <c r="E65"/>
      <c r="F65" s="6"/>
      <c r="G65"/>
      <c r="M65"/>
      <c r="O65" s="26"/>
    </row>
    <row r="66" spans="3:18">
      <c r="C66"/>
      <c r="D66"/>
      <c r="E66"/>
      <c r="F66" s="6"/>
      <c r="G66"/>
    </row>
    <row r="67" spans="3:18">
      <c r="C67"/>
      <c r="D67"/>
      <c r="E67"/>
      <c r="F67" s="6"/>
      <c r="G67"/>
    </row>
    <row r="68" spans="3:18">
      <c r="C68"/>
      <c r="D68"/>
      <c r="E68"/>
      <c r="F68" s="6"/>
      <c r="G68"/>
    </row>
    <row r="69" spans="3:18">
      <c r="C69"/>
      <c r="D69"/>
      <c r="E69"/>
      <c r="F69" s="6"/>
      <c r="G69"/>
    </row>
    <row r="70" spans="3:18">
      <c r="C70"/>
      <c r="D70"/>
      <c r="E70"/>
      <c r="F70" s="6"/>
      <c r="G70"/>
    </row>
    <row r="71" spans="3:18">
      <c r="C71"/>
      <c r="D71"/>
      <c r="E71"/>
      <c r="F71" s="6"/>
      <c r="G71"/>
    </row>
    <row r="72" spans="3:18">
      <c r="C72"/>
      <c r="D72"/>
      <c r="E72"/>
      <c r="F72" s="6"/>
      <c r="G72"/>
    </row>
    <row r="73" spans="3:18">
      <c r="C73"/>
      <c r="D73"/>
      <c r="E73"/>
      <c r="F73" s="6"/>
      <c r="G73"/>
    </row>
    <row r="74" spans="3:18" hidden="1">
      <c r="C74"/>
      <c r="D74"/>
      <c r="E74"/>
      <c r="F74" s="6"/>
      <c r="G74"/>
      <c r="Q74" s="8">
        <v>36</v>
      </c>
      <c r="R74" s="19" t="s">
        <v>60</v>
      </c>
    </row>
    <row r="75" spans="3:18" hidden="1">
      <c r="C75"/>
      <c r="D75"/>
      <c r="E75"/>
      <c r="F75" s="6"/>
      <c r="G75"/>
      <c r="Q75" s="8">
        <v>1</v>
      </c>
      <c r="R75" s="19" t="s">
        <v>61</v>
      </c>
    </row>
    <row r="76" spans="3:18" hidden="1">
      <c r="C76"/>
      <c r="D76"/>
      <c r="E76"/>
      <c r="F76" s="6"/>
      <c r="G76"/>
      <c r="Q76" s="8">
        <v>7</v>
      </c>
      <c r="R76" s="2" t="s">
        <v>62</v>
      </c>
    </row>
    <row r="77" spans="3:18" hidden="1">
      <c r="C77"/>
      <c r="D77"/>
      <c r="E77"/>
      <c r="F77" s="6"/>
      <c r="G77"/>
      <c r="Q77" s="8">
        <v>32</v>
      </c>
      <c r="R77" s="19" t="s">
        <v>63</v>
      </c>
    </row>
    <row r="78" spans="3:18" hidden="1">
      <c r="C78"/>
      <c r="D78"/>
      <c r="E78"/>
      <c r="F78" s="6"/>
      <c r="G78"/>
      <c r="Q78" s="8">
        <v>8</v>
      </c>
      <c r="R78" s="19" t="s">
        <v>61</v>
      </c>
    </row>
    <row r="79" spans="3:18" hidden="1">
      <c r="C79"/>
      <c r="D79"/>
      <c r="E79"/>
      <c r="F79" s="6"/>
      <c r="G79"/>
      <c r="Q79" s="8">
        <v>5</v>
      </c>
      <c r="R79" s="19" t="s">
        <v>64</v>
      </c>
    </row>
    <row r="80" spans="3:18" hidden="1">
      <c r="C80"/>
      <c r="D80"/>
      <c r="E80"/>
      <c r="F80" s="6"/>
      <c r="G80"/>
      <c r="Q80" s="8">
        <v>1</v>
      </c>
      <c r="R80" s="19" t="s">
        <v>65</v>
      </c>
    </row>
    <row r="81" spans="3:18" hidden="1">
      <c r="C81"/>
      <c r="D81"/>
      <c r="E81"/>
      <c r="F81" s="6"/>
      <c r="G81"/>
      <c r="Q81" s="8">
        <v>36</v>
      </c>
      <c r="R81" s="19" t="s">
        <v>66</v>
      </c>
    </row>
    <row r="82" spans="3:18">
      <c r="C82"/>
      <c r="D82"/>
      <c r="E82"/>
      <c r="F82" s="6"/>
      <c r="G82"/>
      <c r="Q82" s="5"/>
    </row>
    <row r="83" spans="3:18">
      <c r="C83"/>
      <c r="D83"/>
      <c r="E83"/>
      <c r="F83" s="6"/>
      <c r="G83"/>
    </row>
    <row r="84" spans="3:18">
      <c r="C84"/>
      <c r="D84"/>
      <c r="E84"/>
      <c r="F84" s="6"/>
      <c r="G84"/>
    </row>
    <row r="85" spans="3:18">
      <c r="C85"/>
      <c r="D85"/>
      <c r="E85"/>
      <c r="F85" s="6"/>
      <c r="G85"/>
    </row>
    <row r="86" spans="3:18">
      <c r="C86"/>
      <c r="D86"/>
      <c r="E86"/>
      <c r="F86" s="6"/>
      <c r="G86"/>
    </row>
    <row r="87" spans="3:18">
      <c r="C87"/>
      <c r="D87"/>
      <c r="E87"/>
      <c r="F87" s="6"/>
      <c r="G87"/>
    </row>
    <row r="88" spans="3:18">
      <c r="C88"/>
      <c r="D88"/>
      <c r="E88"/>
      <c r="F88" s="6"/>
      <c r="G88"/>
    </row>
    <row r="89" spans="3:18">
      <c r="C89"/>
      <c r="D89"/>
      <c r="E89"/>
      <c r="F89" s="6"/>
      <c r="G89"/>
    </row>
    <row r="90" spans="3:18">
      <c r="C90"/>
      <c r="D90"/>
      <c r="E90"/>
      <c r="F90" s="6"/>
      <c r="G90"/>
    </row>
    <row r="91" spans="3:18">
      <c r="C91"/>
      <c r="D91"/>
      <c r="E91"/>
      <c r="F91" s="6"/>
      <c r="G91"/>
    </row>
    <row r="92" spans="3:18">
      <c r="C92"/>
      <c r="D92"/>
      <c r="E92"/>
      <c r="F92" s="6"/>
      <c r="G92"/>
    </row>
    <row r="93" spans="3:18">
      <c r="C93"/>
      <c r="D93"/>
      <c r="E93"/>
      <c r="F93" s="6"/>
      <c r="G93"/>
    </row>
    <row r="94" spans="3:18">
      <c r="C94"/>
      <c r="D94"/>
      <c r="E94"/>
      <c r="F94" s="6"/>
      <c r="G94"/>
    </row>
    <row r="95" spans="3:18">
      <c r="C95"/>
      <c r="D95"/>
      <c r="E95"/>
      <c r="F95" s="6"/>
      <c r="G95"/>
    </row>
    <row r="96" spans="3:18">
      <c r="C96"/>
      <c r="D96"/>
      <c r="E96"/>
      <c r="F96" s="6"/>
      <c r="G96"/>
    </row>
    <row r="97" spans="3:7">
      <c r="C97"/>
      <c r="D97"/>
      <c r="E97"/>
      <c r="F97" s="6"/>
      <c r="G97"/>
    </row>
    <row r="98" spans="3:7">
      <c r="C98"/>
      <c r="D98"/>
      <c r="E98"/>
      <c r="F98" s="6"/>
      <c r="G98"/>
    </row>
    <row r="99" spans="3:7">
      <c r="C99"/>
      <c r="D99"/>
      <c r="E99"/>
      <c r="F99" s="6"/>
      <c r="G99"/>
    </row>
    <row r="100" spans="3:7">
      <c r="C100"/>
      <c r="D100"/>
      <c r="E100"/>
      <c r="F100" s="6"/>
      <c r="G100"/>
    </row>
    <row r="101" spans="3:7">
      <c r="C101"/>
      <c r="D101"/>
      <c r="E101"/>
      <c r="F101" s="6"/>
      <c r="G101"/>
    </row>
    <row r="102" spans="3:7">
      <c r="C102"/>
      <c r="D102"/>
      <c r="E102"/>
      <c r="F102" s="6"/>
      <c r="G102"/>
    </row>
    <row r="103" spans="3:7">
      <c r="C103"/>
      <c r="D103"/>
      <c r="E103"/>
      <c r="F103" s="6"/>
      <c r="G103"/>
    </row>
    <row r="104" spans="3:7">
      <c r="C104"/>
      <c r="D104"/>
      <c r="E104"/>
      <c r="F104" s="6"/>
      <c r="G104"/>
    </row>
    <row r="105" spans="3:7">
      <c r="C105"/>
      <c r="D105"/>
      <c r="E105"/>
      <c r="F105" s="6"/>
      <c r="G105"/>
    </row>
    <row r="106" spans="3:7">
      <c r="C106"/>
      <c r="D106"/>
      <c r="E106"/>
      <c r="F106" s="6"/>
      <c r="G106"/>
    </row>
    <row r="107" spans="3:7">
      <c r="C107"/>
      <c r="D107"/>
      <c r="E107"/>
      <c r="F107" s="6"/>
      <c r="G107"/>
    </row>
    <row r="108" spans="3:7">
      <c r="C108"/>
      <c r="D108"/>
      <c r="E108"/>
      <c r="F108" s="6"/>
      <c r="G108"/>
    </row>
    <row r="109" spans="3:7">
      <c r="C109"/>
      <c r="D109"/>
      <c r="E109"/>
      <c r="F109" s="6"/>
      <c r="G109"/>
    </row>
    <row r="110" spans="3:7">
      <c r="C110"/>
      <c r="D110"/>
      <c r="E110"/>
      <c r="F110" s="6"/>
      <c r="G110"/>
    </row>
    <row r="111" spans="3:7">
      <c r="C111"/>
      <c r="D111"/>
      <c r="E111"/>
      <c r="F111" s="6"/>
      <c r="G111"/>
    </row>
    <row r="112" spans="3:7">
      <c r="C112"/>
      <c r="D112"/>
      <c r="E112"/>
      <c r="F112" s="6"/>
      <c r="G112"/>
    </row>
    <row r="113" spans="3:7">
      <c r="C113"/>
      <c r="D113"/>
      <c r="E113"/>
      <c r="F113" s="6"/>
      <c r="G113"/>
    </row>
    <row r="114" spans="3:7">
      <c r="C114"/>
      <c r="D114"/>
      <c r="E114"/>
      <c r="F114" s="6"/>
      <c r="G114"/>
    </row>
    <row r="115" spans="3:7">
      <c r="C115"/>
      <c r="D115"/>
      <c r="E115"/>
      <c r="F115" s="6"/>
      <c r="G115"/>
    </row>
    <row r="116" spans="3:7">
      <c r="C116"/>
      <c r="D116"/>
      <c r="E116"/>
      <c r="F116" s="6"/>
      <c r="G116"/>
    </row>
    <row r="117" spans="3:7">
      <c r="C117"/>
      <c r="D117"/>
      <c r="E117"/>
      <c r="F117" s="6"/>
      <c r="G117"/>
    </row>
    <row r="118" spans="3:7">
      <c r="C118"/>
      <c r="D118"/>
      <c r="E118"/>
      <c r="F118" s="6"/>
      <c r="G118"/>
    </row>
    <row r="119" spans="3:7">
      <c r="C119"/>
      <c r="D119"/>
      <c r="E119"/>
      <c r="F119" s="6"/>
      <c r="G119"/>
    </row>
    <row r="120" spans="3:7">
      <c r="C120"/>
      <c r="D120"/>
      <c r="E120"/>
      <c r="F120" s="6"/>
      <c r="G120"/>
    </row>
    <row r="121" spans="3:7">
      <c r="C121"/>
      <c r="D121"/>
      <c r="E121"/>
      <c r="F121" s="6"/>
      <c r="G121"/>
    </row>
    <row r="122" spans="3:7">
      <c r="C122"/>
      <c r="D122"/>
      <c r="E122"/>
      <c r="F122" s="6"/>
      <c r="G122"/>
    </row>
    <row r="123" spans="3:7">
      <c r="C123"/>
      <c r="D123"/>
      <c r="E123"/>
      <c r="F123" s="6"/>
      <c r="G123"/>
    </row>
    <row r="124" spans="3:7">
      <c r="C124"/>
      <c r="D124"/>
      <c r="E124"/>
      <c r="F124" s="6"/>
      <c r="G124"/>
    </row>
    <row r="125" spans="3:7">
      <c r="C125"/>
      <c r="D125"/>
      <c r="E125"/>
      <c r="F125" s="6"/>
      <c r="G125"/>
    </row>
    <row r="126" spans="3:7">
      <c r="C126"/>
      <c r="D126"/>
      <c r="E126"/>
      <c r="F126" s="6"/>
      <c r="G126"/>
    </row>
    <row r="127" spans="3:7">
      <c r="C127"/>
      <c r="D127"/>
      <c r="E127"/>
      <c r="F127" s="6"/>
      <c r="G127"/>
    </row>
    <row r="128" spans="3:7">
      <c r="C128"/>
      <c r="D128"/>
      <c r="E128"/>
      <c r="F128" s="6"/>
      <c r="G128"/>
    </row>
    <row r="129" spans="3:7">
      <c r="C129"/>
      <c r="D129"/>
      <c r="E129"/>
      <c r="F129" s="6"/>
      <c r="G129"/>
    </row>
    <row r="130" spans="3:7">
      <c r="C130"/>
      <c r="D130"/>
      <c r="E130"/>
      <c r="F130" s="6"/>
      <c r="G130"/>
    </row>
    <row r="131" spans="3:7">
      <c r="C131"/>
      <c r="D131"/>
      <c r="E131"/>
      <c r="F131" s="6"/>
      <c r="G131"/>
    </row>
    <row r="132" spans="3:7">
      <c r="C132"/>
      <c r="D132"/>
      <c r="E132"/>
      <c r="F132" s="6"/>
      <c r="G132"/>
    </row>
    <row r="133" spans="3:7">
      <c r="C133"/>
      <c r="D133"/>
      <c r="E133"/>
      <c r="F133" s="6"/>
      <c r="G133"/>
    </row>
    <row r="134" spans="3:7">
      <c r="C134"/>
      <c r="D134"/>
      <c r="E134"/>
      <c r="F134" s="6"/>
      <c r="G134"/>
    </row>
    <row r="135" spans="3:7">
      <c r="C135"/>
      <c r="D135"/>
      <c r="E135"/>
      <c r="F135" s="6"/>
      <c r="G135"/>
    </row>
    <row r="136" spans="3:7">
      <c r="C136"/>
      <c r="D136"/>
      <c r="E136"/>
      <c r="F136" s="6"/>
      <c r="G136"/>
    </row>
    <row r="137" spans="3:7">
      <c r="C137"/>
      <c r="D137"/>
      <c r="E137"/>
      <c r="F137" s="6"/>
      <c r="G137"/>
    </row>
    <row r="138" spans="3:7">
      <c r="C138"/>
      <c r="D138"/>
      <c r="E138"/>
      <c r="F138" s="6"/>
      <c r="G138"/>
    </row>
    <row r="139" spans="3:7">
      <c r="C139"/>
      <c r="D139"/>
      <c r="E139"/>
      <c r="F139" s="6"/>
      <c r="G139"/>
    </row>
    <row r="140" spans="3:7">
      <c r="C140"/>
      <c r="D140"/>
      <c r="E140"/>
      <c r="F140" s="6"/>
      <c r="G140"/>
    </row>
    <row r="141" spans="3:7">
      <c r="C141"/>
      <c r="D141"/>
      <c r="E141"/>
      <c r="F141" s="6"/>
      <c r="G141"/>
    </row>
    <row r="142" spans="3:7">
      <c r="C142"/>
      <c r="D142"/>
      <c r="E142"/>
      <c r="F142" s="6"/>
      <c r="G142"/>
    </row>
    <row r="143" spans="3:7">
      <c r="C143"/>
      <c r="D143"/>
      <c r="E143"/>
      <c r="F143" s="6"/>
      <c r="G143"/>
    </row>
    <row r="144" spans="3:7">
      <c r="C144"/>
      <c r="D144"/>
      <c r="E144"/>
      <c r="F144" s="6"/>
      <c r="G144"/>
    </row>
    <row r="145" spans="3:7">
      <c r="C145"/>
      <c r="D145"/>
      <c r="E145"/>
      <c r="F145" s="6"/>
      <c r="G145"/>
    </row>
    <row r="146" spans="3:7">
      <c r="C146"/>
      <c r="D146"/>
      <c r="E146"/>
      <c r="F146" s="6"/>
      <c r="G146"/>
    </row>
    <row r="147" spans="3:7">
      <c r="C147"/>
      <c r="D147"/>
      <c r="E147"/>
      <c r="F147" s="6"/>
      <c r="G147"/>
    </row>
    <row r="148" spans="3:7">
      <c r="C148"/>
      <c r="D148"/>
      <c r="E148"/>
      <c r="F148" s="6"/>
      <c r="G148"/>
    </row>
    <row r="149" spans="3:7">
      <c r="C149"/>
      <c r="D149"/>
      <c r="E149"/>
      <c r="F149" s="6"/>
      <c r="G149"/>
    </row>
    <row r="150" spans="3:7">
      <c r="C150"/>
      <c r="D150"/>
      <c r="E150"/>
      <c r="F150" s="6"/>
      <c r="G150"/>
    </row>
    <row r="151" spans="3:7">
      <c r="C151"/>
      <c r="D151"/>
      <c r="E151"/>
      <c r="F151" s="6"/>
      <c r="G151"/>
    </row>
    <row r="152" spans="3:7">
      <c r="C152"/>
      <c r="D152"/>
      <c r="E152"/>
      <c r="F152" s="6"/>
      <c r="G152"/>
    </row>
    <row r="153" spans="3:7">
      <c r="C153"/>
      <c r="D153"/>
      <c r="E153"/>
      <c r="F153" s="6"/>
      <c r="G153"/>
    </row>
    <row r="154" spans="3:7">
      <c r="C154"/>
      <c r="D154"/>
      <c r="E154"/>
      <c r="F154" s="6"/>
      <c r="G154"/>
    </row>
    <row r="155" spans="3:7">
      <c r="C155"/>
      <c r="D155"/>
      <c r="E155"/>
      <c r="F155" s="6"/>
      <c r="G155"/>
    </row>
    <row r="156" spans="3:7">
      <c r="C156"/>
      <c r="D156"/>
      <c r="E156"/>
      <c r="F156" s="6"/>
      <c r="G156"/>
    </row>
    <row r="157" spans="3:7">
      <c r="C157"/>
      <c r="D157"/>
      <c r="E157"/>
      <c r="F157" s="6"/>
      <c r="G157"/>
    </row>
    <row r="158" spans="3:7">
      <c r="C158"/>
      <c r="D158"/>
      <c r="E158"/>
      <c r="F158" s="6"/>
      <c r="G158"/>
    </row>
    <row r="159" spans="3:7">
      <c r="C159"/>
      <c r="D159"/>
      <c r="E159"/>
      <c r="F159" s="6"/>
      <c r="G159"/>
    </row>
    <row r="160" spans="3:7">
      <c r="C160"/>
      <c r="D160"/>
      <c r="E160"/>
      <c r="F160" s="6"/>
      <c r="G160"/>
    </row>
    <row r="161" spans="3:7">
      <c r="C161"/>
      <c r="D161"/>
      <c r="E161"/>
      <c r="F161" s="6"/>
      <c r="G161"/>
    </row>
    <row r="162" spans="3:7">
      <c r="C162"/>
      <c r="D162"/>
      <c r="E162"/>
      <c r="F162" s="6"/>
      <c r="G162"/>
    </row>
    <row r="163" spans="3:7">
      <c r="C163"/>
      <c r="D163"/>
      <c r="E163"/>
      <c r="F163" s="6"/>
      <c r="G163"/>
    </row>
    <row r="164" spans="3:7">
      <c r="C164"/>
      <c r="D164"/>
      <c r="E164"/>
      <c r="F164" s="6"/>
      <c r="G164"/>
    </row>
    <row r="165" spans="3:7">
      <c r="C165"/>
      <c r="D165"/>
      <c r="E165"/>
      <c r="F165" s="6"/>
      <c r="G165"/>
    </row>
    <row r="166" spans="3:7">
      <c r="C166"/>
      <c r="D166"/>
      <c r="E166"/>
      <c r="F166" s="6"/>
      <c r="G166"/>
    </row>
    <row r="167" spans="3:7">
      <c r="C167"/>
      <c r="D167"/>
      <c r="E167"/>
      <c r="F167" s="6"/>
      <c r="G167"/>
    </row>
    <row r="168" spans="3:7">
      <c r="C168"/>
      <c r="D168"/>
      <c r="E168"/>
      <c r="F168" s="6"/>
      <c r="G168"/>
    </row>
    <row r="169" spans="3:7">
      <c r="C169"/>
      <c r="D169"/>
      <c r="E169"/>
      <c r="F169" s="6"/>
      <c r="G169"/>
    </row>
    <row r="170" spans="3:7">
      <c r="C170"/>
      <c r="D170"/>
      <c r="E170"/>
      <c r="F170" s="6"/>
      <c r="G170"/>
    </row>
    <row r="171" spans="3:7">
      <c r="C171"/>
      <c r="D171"/>
      <c r="E171"/>
      <c r="F171" s="6"/>
      <c r="G171"/>
    </row>
    <row r="172" spans="3:7">
      <c r="C172"/>
      <c r="D172"/>
      <c r="E172"/>
      <c r="F172" s="6"/>
      <c r="G172"/>
    </row>
    <row r="173" spans="3:7">
      <c r="C173"/>
      <c r="D173"/>
      <c r="E173"/>
      <c r="F173" s="6"/>
      <c r="G173"/>
    </row>
    <row r="174" spans="3:7">
      <c r="C174"/>
      <c r="D174"/>
      <c r="E174"/>
      <c r="F174" s="6"/>
      <c r="G174"/>
    </row>
    <row r="175" spans="3:7">
      <c r="C175"/>
      <c r="D175"/>
      <c r="E175"/>
      <c r="F175" s="6"/>
      <c r="G175"/>
    </row>
    <row r="176" spans="3:7">
      <c r="C176"/>
      <c r="D176"/>
      <c r="E176"/>
      <c r="F176" s="6"/>
      <c r="G176"/>
    </row>
    <row r="177" spans="3:7">
      <c r="C177"/>
      <c r="D177"/>
      <c r="E177"/>
      <c r="F177" s="6"/>
      <c r="G177"/>
    </row>
    <row r="178" spans="3:7">
      <c r="C178"/>
      <c r="D178"/>
      <c r="E178"/>
      <c r="F178" s="6"/>
      <c r="G178"/>
    </row>
    <row r="179" spans="3:7">
      <c r="C179"/>
      <c r="D179"/>
      <c r="E179"/>
      <c r="F179" s="6"/>
      <c r="G179"/>
    </row>
    <row r="180" spans="3:7">
      <c r="C180"/>
      <c r="D180"/>
      <c r="E180"/>
      <c r="F180" s="6"/>
      <c r="G180"/>
    </row>
    <row r="181" spans="3:7">
      <c r="C181"/>
      <c r="D181"/>
      <c r="E181"/>
      <c r="F181" s="6"/>
      <c r="G181"/>
    </row>
    <row r="182" spans="3:7">
      <c r="C182"/>
      <c r="D182"/>
      <c r="E182"/>
      <c r="F182" s="6"/>
      <c r="G182"/>
    </row>
    <row r="183" spans="3:7">
      <c r="C183"/>
      <c r="D183"/>
      <c r="E183"/>
      <c r="F183" s="6"/>
      <c r="G183"/>
    </row>
    <row r="184" spans="3:7">
      <c r="C184"/>
      <c r="D184"/>
      <c r="E184"/>
      <c r="F184" s="6"/>
      <c r="G184"/>
    </row>
    <row r="185" spans="3:7">
      <c r="C185"/>
      <c r="D185"/>
      <c r="E185"/>
      <c r="F185" s="6"/>
      <c r="G185"/>
    </row>
    <row r="186" spans="3:7">
      <c r="C186"/>
      <c r="D186"/>
      <c r="E186"/>
      <c r="F186" s="6"/>
      <c r="G186"/>
    </row>
    <row r="187" spans="3:7">
      <c r="C187"/>
      <c r="D187"/>
      <c r="E187"/>
      <c r="F187" s="6"/>
      <c r="G187"/>
    </row>
    <row r="188" spans="3:7">
      <c r="C188"/>
      <c r="D188"/>
      <c r="E188"/>
      <c r="F188" s="6"/>
      <c r="G188"/>
    </row>
    <row r="189" spans="3:7">
      <c r="C189"/>
      <c r="D189"/>
      <c r="E189"/>
      <c r="F189" s="6"/>
      <c r="G189"/>
    </row>
    <row r="190" spans="3:7">
      <c r="C190"/>
      <c r="D190"/>
      <c r="E190"/>
      <c r="F190" s="6"/>
      <c r="G190"/>
    </row>
    <row r="191" spans="3:7">
      <c r="C191"/>
      <c r="D191"/>
      <c r="E191"/>
      <c r="F191" s="6"/>
      <c r="G191"/>
    </row>
    <row r="192" spans="3:7">
      <c r="C192"/>
      <c r="D192"/>
      <c r="E192"/>
      <c r="F192" s="6"/>
      <c r="G192"/>
    </row>
    <row r="193" spans="3:7">
      <c r="C193"/>
      <c r="D193"/>
      <c r="E193"/>
      <c r="F193" s="6"/>
      <c r="G193"/>
    </row>
    <row r="194" spans="3:7">
      <c r="C194"/>
      <c r="D194"/>
      <c r="E194"/>
      <c r="F194" s="6"/>
      <c r="G194"/>
    </row>
    <row r="195" spans="3:7">
      <c r="C195"/>
      <c r="D195"/>
      <c r="E195"/>
      <c r="F195" s="6"/>
      <c r="G195"/>
    </row>
    <row r="196" spans="3:7">
      <c r="C196"/>
      <c r="D196"/>
      <c r="E196"/>
      <c r="F196" s="6"/>
      <c r="G196"/>
    </row>
    <row r="197" spans="3:7">
      <c r="C197"/>
      <c r="D197"/>
      <c r="E197"/>
      <c r="F197" s="6"/>
      <c r="G197"/>
    </row>
    <row r="198" spans="3:7">
      <c r="C198"/>
      <c r="D198"/>
      <c r="E198"/>
      <c r="F198" s="6"/>
      <c r="G198"/>
    </row>
    <row r="199" spans="3:7">
      <c r="C199"/>
      <c r="D199"/>
      <c r="E199"/>
      <c r="F199" s="6"/>
      <c r="G199"/>
    </row>
    <row r="200" spans="3:7">
      <c r="C200"/>
      <c r="D200"/>
      <c r="E200"/>
      <c r="F200" s="6"/>
      <c r="G200"/>
    </row>
    <row r="201" spans="3:7">
      <c r="C201"/>
      <c r="D201"/>
      <c r="E201"/>
      <c r="F201" s="6"/>
      <c r="G201"/>
    </row>
    <row r="202" spans="3:7">
      <c r="C202"/>
      <c r="D202"/>
      <c r="E202"/>
      <c r="F202" s="6"/>
      <c r="G202"/>
    </row>
    <row r="203" spans="3:7">
      <c r="C203"/>
      <c r="D203"/>
      <c r="E203"/>
      <c r="F203" s="6"/>
      <c r="G203"/>
    </row>
    <row r="204" spans="3:7">
      <c r="C204"/>
      <c r="D204"/>
      <c r="E204"/>
      <c r="F204" s="6"/>
      <c r="G204"/>
    </row>
    <row r="205" spans="3:7">
      <c r="C205"/>
      <c r="D205"/>
      <c r="E205"/>
      <c r="F205" s="6"/>
      <c r="G205"/>
    </row>
    <row r="206" spans="3:7">
      <c r="C206"/>
      <c r="D206"/>
      <c r="E206"/>
      <c r="F206" s="6"/>
      <c r="G206"/>
    </row>
    <row r="207" spans="3:7">
      <c r="C207"/>
      <c r="D207"/>
      <c r="E207"/>
      <c r="F207" s="6"/>
      <c r="G207"/>
    </row>
    <row r="208" spans="3:7">
      <c r="C208"/>
      <c r="D208"/>
      <c r="E208"/>
      <c r="F208" s="6"/>
      <c r="G208"/>
    </row>
    <row r="209" spans="3:7">
      <c r="C209"/>
      <c r="D209"/>
      <c r="E209"/>
      <c r="F209" s="6"/>
      <c r="G209"/>
    </row>
    <row r="210" spans="3:7">
      <c r="C210"/>
      <c r="D210"/>
      <c r="E210"/>
      <c r="F210" s="6"/>
      <c r="G210"/>
    </row>
    <row r="211" spans="3:7">
      <c r="C211"/>
      <c r="D211"/>
      <c r="E211"/>
      <c r="F211" s="6"/>
      <c r="G211"/>
    </row>
    <row r="212" spans="3:7">
      <c r="C212"/>
      <c r="D212"/>
      <c r="E212"/>
      <c r="F212" s="6"/>
      <c r="G212"/>
    </row>
    <row r="213" spans="3:7">
      <c r="C213"/>
      <c r="D213"/>
      <c r="E213"/>
      <c r="F213" s="6"/>
      <c r="G213"/>
    </row>
    <row r="214" spans="3:7">
      <c r="C214"/>
      <c r="D214"/>
      <c r="E214"/>
      <c r="F214" s="6"/>
      <c r="G214"/>
    </row>
    <row r="215" spans="3:7">
      <c r="C215"/>
      <c r="D215"/>
      <c r="E215"/>
      <c r="F215" s="6"/>
      <c r="G215"/>
    </row>
    <row r="216" spans="3:7">
      <c r="C216"/>
      <c r="D216"/>
      <c r="E216"/>
      <c r="F216" s="6"/>
      <c r="G216"/>
    </row>
    <row r="217" spans="3:7">
      <c r="C217"/>
      <c r="D217"/>
      <c r="E217"/>
      <c r="F217" s="6"/>
      <c r="G217"/>
    </row>
    <row r="218" spans="3:7">
      <c r="C218"/>
      <c r="D218"/>
      <c r="E218"/>
      <c r="F218" s="6"/>
      <c r="G218"/>
    </row>
    <row r="219" spans="3:7">
      <c r="C219"/>
      <c r="D219"/>
      <c r="E219"/>
      <c r="F219" s="6"/>
      <c r="G219"/>
    </row>
    <row r="220" spans="3:7">
      <c r="C220"/>
      <c r="D220"/>
      <c r="E220"/>
      <c r="F220" s="6"/>
      <c r="G220"/>
    </row>
    <row r="221" spans="3:7">
      <c r="C221"/>
      <c r="D221"/>
      <c r="E221"/>
      <c r="F221" s="6"/>
      <c r="G221"/>
    </row>
    <row r="222" spans="3:7">
      <c r="C222"/>
      <c r="D222"/>
      <c r="E222"/>
      <c r="F222" s="6"/>
      <c r="G222"/>
    </row>
    <row r="223" spans="3:7">
      <c r="C223"/>
      <c r="D223"/>
      <c r="E223"/>
      <c r="F223" s="6"/>
      <c r="G223"/>
    </row>
    <row r="224" spans="3:7">
      <c r="C224"/>
      <c r="D224"/>
      <c r="E224"/>
      <c r="F224" s="6"/>
      <c r="G224"/>
    </row>
    <row r="225" spans="3:7">
      <c r="C225"/>
      <c r="D225"/>
      <c r="E225"/>
      <c r="F225" s="6"/>
      <c r="G225"/>
    </row>
    <row r="226" spans="3:7">
      <c r="C226"/>
      <c r="D226"/>
      <c r="E226"/>
      <c r="F226" s="6"/>
      <c r="G226"/>
    </row>
    <row r="227" spans="3:7">
      <c r="C227"/>
      <c r="D227"/>
      <c r="E227"/>
      <c r="F227" s="6"/>
      <c r="G227"/>
    </row>
    <row r="228" spans="3:7">
      <c r="C228"/>
      <c r="D228"/>
      <c r="E228"/>
      <c r="F228" s="6"/>
      <c r="G228"/>
    </row>
    <row r="229" spans="3:7">
      <c r="C229"/>
      <c r="D229"/>
      <c r="E229"/>
      <c r="F229" s="6"/>
      <c r="G229"/>
    </row>
    <row r="230" spans="3:7">
      <c r="C230"/>
      <c r="D230"/>
      <c r="E230"/>
      <c r="F230" s="6"/>
      <c r="G230"/>
    </row>
    <row r="231" spans="3:7">
      <c r="C231"/>
      <c r="D231"/>
      <c r="E231"/>
      <c r="F231" s="6"/>
      <c r="G231"/>
    </row>
    <row r="232" spans="3:7">
      <c r="C232"/>
      <c r="D232"/>
      <c r="E232"/>
      <c r="F232" s="6"/>
      <c r="G232"/>
    </row>
    <row r="233" spans="3:7">
      <c r="C233"/>
      <c r="D233"/>
      <c r="E233"/>
      <c r="F233" s="6"/>
      <c r="G233"/>
    </row>
    <row r="234" spans="3:7">
      <c r="C234"/>
      <c r="D234"/>
      <c r="E234"/>
      <c r="F234" s="6"/>
      <c r="G234"/>
    </row>
    <row r="235" spans="3:7">
      <c r="C235"/>
      <c r="D235"/>
      <c r="E235"/>
      <c r="F235" s="6"/>
      <c r="G235"/>
    </row>
    <row r="236" spans="3:7">
      <c r="C236"/>
      <c r="D236"/>
      <c r="E236"/>
      <c r="F236" s="6"/>
      <c r="G236"/>
    </row>
    <row r="237" spans="3:7">
      <c r="C237"/>
      <c r="D237"/>
      <c r="E237"/>
      <c r="F237" s="6"/>
      <c r="G237"/>
    </row>
    <row r="238" spans="3:7">
      <c r="C238"/>
      <c r="D238"/>
      <c r="E238"/>
      <c r="F238" s="6"/>
      <c r="G238"/>
    </row>
    <row r="239" spans="3:7">
      <c r="C239"/>
      <c r="D239"/>
      <c r="E239"/>
      <c r="F239" s="6"/>
      <c r="G239"/>
    </row>
    <row r="240" spans="3:7">
      <c r="C240"/>
      <c r="D240"/>
      <c r="E240"/>
      <c r="F240" s="6"/>
      <c r="G240"/>
    </row>
    <row r="241" spans="3:7">
      <c r="C241"/>
      <c r="D241"/>
      <c r="E241"/>
      <c r="F241" s="6"/>
      <c r="G241"/>
    </row>
    <row r="242" spans="3:7">
      <c r="C242"/>
      <c r="D242"/>
      <c r="E242"/>
      <c r="F242" s="6"/>
      <c r="G242"/>
    </row>
    <row r="243" spans="3:7">
      <c r="C243"/>
      <c r="D243"/>
      <c r="E243"/>
      <c r="F243" s="6"/>
      <c r="G243"/>
    </row>
    <row r="244" spans="3:7">
      <c r="C244"/>
      <c r="D244"/>
      <c r="E244"/>
      <c r="F244" s="6"/>
      <c r="G244"/>
    </row>
    <row r="245" spans="3:7">
      <c r="C245"/>
      <c r="D245"/>
      <c r="E245"/>
      <c r="F245" s="6"/>
      <c r="G245"/>
    </row>
    <row r="246" spans="3:7">
      <c r="C246"/>
      <c r="D246"/>
      <c r="E246"/>
      <c r="F246" s="6"/>
      <c r="G246"/>
    </row>
    <row r="247" spans="3:7">
      <c r="C247"/>
      <c r="D247"/>
      <c r="E247"/>
      <c r="F247" s="6"/>
      <c r="G247"/>
    </row>
    <row r="248" spans="3:7">
      <c r="C248"/>
      <c r="D248"/>
      <c r="E248"/>
      <c r="F248" s="6"/>
      <c r="G248"/>
    </row>
    <row r="249" spans="3:7">
      <c r="C249"/>
      <c r="D249"/>
      <c r="E249"/>
      <c r="F249" s="6"/>
      <c r="G249"/>
    </row>
    <row r="250" spans="3:7">
      <c r="C250"/>
      <c r="D250"/>
      <c r="E250"/>
      <c r="F250" s="6"/>
      <c r="G250"/>
    </row>
    <row r="251" spans="3:7">
      <c r="C251"/>
      <c r="D251"/>
      <c r="E251"/>
      <c r="F251" s="6"/>
      <c r="G251"/>
    </row>
    <row r="252" spans="3:7">
      <c r="C252"/>
      <c r="D252"/>
      <c r="E252"/>
      <c r="F252" s="6"/>
      <c r="G252"/>
    </row>
    <row r="253" spans="3:7">
      <c r="C253"/>
      <c r="D253"/>
      <c r="E253"/>
      <c r="F253" s="6"/>
      <c r="G253"/>
    </row>
    <row r="254" spans="3:7">
      <c r="C254"/>
      <c r="D254"/>
      <c r="E254"/>
      <c r="F254" s="6"/>
      <c r="G254"/>
    </row>
    <row r="255" spans="3:7">
      <c r="C255"/>
      <c r="D255"/>
      <c r="E255"/>
      <c r="F255" s="6"/>
      <c r="G255"/>
    </row>
    <row r="256" spans="3:7">
      <c r="C256"/>
      <c r="D256"/>
      <c r="E256"/>
      <c r="F256" s="6"/>
      <c r="G256"/>
    </row>
    <row r="257" spans="3:7">
      <c r="C257"/>
      <c r="D257"/>
      <c r="E257"/>
      <c r="F257" s="6"/>
      <c r="G257"/>
    </row>
    <row r="258" spans="3:7">
      <c r="C258"/>
      <c r="D258"/>
      <c r="E258"/>
      <c r="F258" s="6"/>
      <c r="G258"/>
    </row>
    <row r="259" spans="3:7">
      <c r="C259"/>
      <c r="D259"/>
      <c r="E259"/>
      <c r="F259" s="6"/>
      <c r="G259"/>
    </row>
    <row r="260" spans="3:7">
      <c r="C260"/>
      <c r="D260"/>
      <c r="E260"/>
      <c r="F260" s="6"/>
      <c r="G260"/>
    </row>
    <row r="261" spans="3:7">
      <c r="C261"/>
      <c r="D261"/>
      <c r="E261"/>
      <c r="F261" s="6"/>
      <c r="G261"/>
    </row>
    <row r="262" spans="3:7">
      <c r="C262"/>
      <c r="D262"/>
      <c r="E262"/>
      <c r="F262" s="6"/>
      <c r="G262"/>
    </row>
    <row r="263" spans="3:7">
      <c r="C263"/>
      <c r="D263"/>
      <c r="E263"/>
      <c r="F263" s="6"/>
      <c r="G263"/>
    </row>
    <row r="264" spans="3:7">
      <c r="C264"/>
      <c r="D264"/>
      <c r="E264"/>
      <c r="F264" s="6"/>
      <c r="G264"/>
    </row>
    <row r="265" spans="3:7">
      <c r="C265"/>
      <c r="D265"/>
      <c r="E265"/>
      <c r="F265" s="6"/>
      <c r="G265"/>
    </row>
    <row r="266" spans="3:7">
      <c r="C266"/>
      <c r="D266"/>
      <c r="E266"/>
      <c r="F266" s="6"/>
      <c r="G266"/>
    </row>
    <row r="267" spans="3:7">
      <c r="C267"/>
      <c r="D267"/>
      <c r="E267"/>
      <c r="F267" s="6"/>
      <c r="G267"/>
    </row>
    <row r="268" spans="3:7">
      <c r="C268"/>
      <c r="D268"/>
      <c r="E268"/>
      <c r="F268" s="6"/>
      <c r="G268"/>
    </row>
    <row r="269" spans="3:7">
      <c r="C269"/>
      <c r="D269"/>
      <c r="E269"/>
      <c r="F269" s="6"/>
      <c r="G269"/>
    </row>
    <row r="270" spans="3:7">
      <c r="C270"/>
      <c r="D270"/>
      <c r="E270"/>
      <c r="F270" s="6"/>
      <c r="G270"/>
    </row>
    <row r="271" spans="3:7">
      <c r="C271"/>
      <c r="D271"/>
      <c r="E271"/>
      <c r="F271" s="6"/>
      <c r="G271"/>
    </row>
    <row r="272" spans="3:7">
      <c r="C272"/>
      <c r="D272"/>
      <c r="E272"/>
      <c r="F272" s="6"/>
      <c r="G272"/>
    </row>
    <row r="273" spans="3:7">
      <c r="C273"/>
      <c r="D273"/>
      <c r="E273"/>
      <c r="F273" s="6"/>
      <c r="G273"/>
    </row>
    <row r="274" spans="3:7">
      <c r="C274"/>
      <c r="D274"/>
      <c r="E274"/>
      <c r="F274" s="6"/>
      <c r="G274"/>
    </row>
    <row r="275" spans="3:7">
      <c r="C275"/>
      <c r="D275"/>
      <c r="E275"/>
      <c r="F275" s="6"/>
      <c r="G275"/>
    </row>
    <row r="276" spans="3:7">
      <c r="C276"/>
      <c r="D276"/>
      <c r="E276"/>
      <c r="F276" s="6"/>
      <c r="G276"/>
    </row>
    <row r="277" spans="3:7">
      <c r="C277"/>
      <c r="D277"/>
      <c r="E277"/>
      <c r="F277" s="6"/>
      <c r="G277"/>
    </row>
    <row r="278" spans="3:7">
      <c r="C278"/>
      <c r="D278"/>
      <c r="E278"/>
      <c r="F278" s="6"/>
      <c r="G278"/>
    </row>
    <row r="279" spans="3:7">
      <c r="C279"/>
      <c r="D279"/>
      <c r="E279"/>
      <c r="F279" s="6"/>
      <c r="G279"/>
    </row>
    <row r="280" spans="3:7">
      <c r="C280"/>
      <c r="D280"/>
      <c r="E280"/>
      <c r="F280" s="6"/>
      <c r="G280"/>
    </row>
    <row r="281" spans="3:7">
      <c r="C281"/>
      <c r="D281"/>
      <c r="E281"/>
      <c r="F281" s="6"/>
      <c r="G281"/>
    </row>
    <row r="282" spans="3:7">
      <c r="C282"/>
      <c r="D282"/>
      <c r="E282"/>
      <c r="F282" s="6"/>
      <c r="G282"/>
    </row>
    <row r="283" spans="3:7">
      <c r="C283"/>
      <c r="D283"/>
      <c r="E283"/>
      <c r="F283" s="6"/>
      <c r="G283"/>
    </row>
    <row r="284" spans="3:7">
      <c r="C284"/>
      <c r="D284"/>
      <c r="E284"/>
      <c r="F284" s="6"/>
      <c r="G284"/>
    </row>
    <row r="285" spans="3:7">
      <c r="C285"/>
      <c r="D285"/>
      <c r="E285"/>
      <c r="F285" s="6"/>
      <c r="G285"/>
    </row>
    <row r="286" spans="3:7">
      <c r="C286"/>
      <c r="D286"/>
      <c r="E286"/>
      <c r="F286" s="6"/>
      <c r="G286"/>
    </row>
    <row r="287" spans="3:7">
      <c r="C287"/>
      <c r="D287"/>
      <c r="E287"/>
      <c r="F287" s="6"/>
      <c r="G287"/>
    </row>
    <row r="288" spans="3:7">
      <c r="C288"/>
      <c r="D288"/>
      <c r="E288"/>
      <c r="F288" s="6"/>
      <c r="G288"/>
    </row>
    <row r="289" spans="3:7">
      <c r="C289"/>
      <c r="D289"/>
      <c r="E289"/>
      <c r="F289" s="6"/>
      <c r="G289"/>
    </row>
    <row r="290" spans="3:7">
      <c r="C290"/>
      <c r="D290"/>
      <c r="E290"/>
      <c r="F290" s="6"/>
      <c r="G290"/>
    </row>
    <row r="291" spans="3:7">
      <c r="C291"/>
      <c r="D291"/>
      <c r="E291"/>
      <c r="F291" s="6"/>
      <c r="G291"/>
    </row>
    <row r="292" spans="3:7">
      <c r="C292"/>
      <c r="D292"/>
      <c r="E292"/>
      <c r="F292" s="6"/>
      <c r="G292"/>
    </row>
    <row r="293" spans="3:7">
      <c r="C293"/>
      <c r="D293"/>
      <c r="E293"/>
      <c r="F293" s="6"/>
      <c r="G293"/>
    </row>
    <row r="294" spans="3:7">
      <c r="C294"/>
      <c r="D294"/>
      <c r="E294"/>
      <c r="F294" s="6"/>
      <c r="G294"/>
    </row>
    <row r="295" spans="3:7">
      <c r="C295"/>
      <c r="D295"/>
      <c r="E295"/>
      <c r="F295" s="6"/>
      <c r="G295"/>
    </row>
    <row r="296" spans="3:7">
      <c r="C296"/>
      <c r="D296"/>
      <c r="E296"/>
      <c r="F296" s="6"/>
      <c r="G296"/>
    </row>
    <row r="297" spans="3:7">
      <c r="C297"/>
      <c r="D297"/>
      <c r="E297"/>
      <c r="F297" s="6"/>
      <c r="G297"/>
    </row>
    <row r="298" spans="3:7">
      <c r="C298"/>
      <c r="D298"/>
      <c r="E298"/>
      <c r="F298" s="6"/>
      <c r="G298"/>
    </row>
    <row r="299" spans="3:7">
      <c r="C299"/>
      <c r="D299"/>
      <c r="E299"/>
      <c r="F299" s="6"/>
      <c r="G299"/>
    </row>
    <row r="300" spans="3:7">
      <c r="C300"/>
      <c r="D300"/>
      <c r="E300"/>
      <c r="F300" s="6"/>
      <c r="G300"/>
    </row>
    <row r="301" spans="3:7">
      <c r="C301"/>
      <c r="D301"/>
      <c r="E301"/>
      <c r="F301" s="6"/>
      <c r="G301"/>
    </row>
    <row r="302" spans="3:7">
      <c r="C302"/>
      <c r="D302"/>
      <c r="E302"/>
      <c r="F302" s="6"/>
      <c r="G302"/>
    </row>
    <row r="303" spans="3:7">
      <c r="C303"/>
      <c r="D303"/>
      <c r="E303"/>
      <c r="F303" s="6"/>
      <c r="G303"/>
    </row>
    <row r="304" spans="3:7">
      <c r="C304"/>
      <c r="D304"/>
      <c r="E304"/>
      <c r="F304" s="6"/>
      <c r="G304"/>
    </row>
    <row r="305" spans="3:7">
      <c r="C305"/>
      <c r="D305"/>
      <c r="E305"/>
      <c r="F305" s="6"/>
      <c r="G305"/>
    </row>
    <row r="306" spans="3:7">
      <c r="C306"/>
      <c r="D306"/>
      <c r="E306"/>
      <c r="F306" s="6"/>
      <c r="G306"/>
    </row>
    <row r="307" spans="3:7">
      <c r="C307"/>
      <c r="D307"/>
      <c r="E307"/>
      <c r="F307" s="6"/>
      <c r="G307"/>
    </row>
    <row r="308" spans="3:7">
      <c r="C308"/>
      <c r="D308"/>
      <c r="E308"/>
      <c r="F308" s="6"/>
      <c r="G308"/>
    </row>
    <row r="309" spans="3:7">
      <c r="C309"/>
      <c r="D309"/>
      <c r="E309"/>
      <c r="F309" s="6"/>
      <c r="G309"/>
    </row>
    <row r="310" spans="3:7">
      <c r="C310"/>
      <c r="D310"/>
      <c r="E310"/>
      <c r="F310" s="6"/>
      <c r="G310"/>
    </row>
    <row r="311" spans="3:7">
      <c r="C311"/>
      <c r="D311"/>
      <c r="E311"/>
      <c r="F311" s="6"/>
      <c r="G311"/>
    </row>
    <row r="312" spans="3:7">
      <c r="C312"/>
      <c r="D312"/>
      <c r="E312"/>
      <c r="F312" s="6"/>
      <c r="G312"/>
    </row>
    <row r="313" spans="3:7">
      <c r="C313"/>
      <c r="D313"/>
      <c r="E313"/>
      <c r="F313" s="6"/>
      <c r="G313"/>
    </row>
    <row r="314" spans="3:7">
      <c r="C314"/>
      <c r="D314"/>
      <c r="E314"/>
      <c r="F314" s="6"/>
      <c r="G314"/>
    </row>
    <row r="315" spans="3:7">
      <c r="C315"/>
      <c r="D315"/>
      <c r="E315"/>
      <c r="F315" s="6"/>
      <c r="G315"/>
    </row>
    <row r="316" spans="3:7">
      <c r="C316"/>
      <c r="D316"/>
      <c r="E316"/>
      <c r="F316" s="6"/>
      <c r="G316"/>
    </row>
    <row r="317" spans="3:7">
      <c r="C317"/>
      <c r="D317"/>
      <c r="E317"/>
      <c r="F317" s="6"/>
      <c r="G317"/>
    </row>
    <row r="318" spans="3:7">
      <c r="C318"/>
      <c r="D318"/>
      <c r="E318"/>
      <c r="F318" s="6"/>
      <c r="G318"/>
    </row>
    <row r="319" spans="3:7">
      <c r="C319"/>
      <c r="D319"/>
      <c r="E319"/>
      <c r="F319" s="6"/>
      <c r="G319"/>
    </row>
    <row r="320" spans="3:7">
      <c r="C320"/>
      <c r="D320"/>
      <c r="E320"/>
      <c r="F320" s="6"/>
      <c r="G320"/>
    </row>
    <row r="321" spans="3:7">
      <c r="C321"/>
      <c r="D321"/>
      <c r="E321"/>
      <c r="F321" s="6"/>
      <c r="G321"/>
    </row>
    <row r="322" spans="3:7">
      <c r="C322"/>
      <c r="D322"/>
      <c r="E322"/>
      <c r="F322" s="6"/>
      <c r="G322"/>
    </row>
    <row r="323" spans="3:7">
      <c r="C323"/>
      <c r="D323"/>
      <c r="E323"/>
      <c r="F323" s="6"/>
      <c r="G323"/>
    </row>
    <row r="324" spans="3:7">
      <c r="C324"/>
      <c r="D324"/>
      <c r="E324"/>
      <c r="F324" s="6"/>
      <c r="G324"/>
    </row>
    <row r="325" spans="3:7">
      <c r="C325"/>
      <c r="D325"/>
      <c r="E325"/>
      <c r="F325" s="6"/>
      <c r="G325"/>
    </row>
    <row r="326" spans="3:7">
      <c r="C326"/>
      <c r="D326"/>
      <c r="E326"/>
      <c r="F326" s="6"/>
      <c r="G326"/>
    </row>
    <row r="327" spans="3:7">
      <c r="C327"/>
      <c r="D327"/>
      <c r="E327"/>
      <c r="F327" s="6"/>
      <c r="G327"/>
    </row>
    <row r="328" spans="3:7">
      <c r="C328"/>
      <c r="D328"/>
      <c r="E328"/>
      <c r="F328" s="6"/>
      <c r="G328"/>
    </row>
    <row r="329" spans="3:7">
      <c r="C329"/>
      <c r="D329"/>
      <c r="E329"/>
      <c r="F329" s="6"/>
      <c r="G329"/>
    </row>
    <row r="330" spans="3:7">
      <c r="C330"/>
      <c r="D330"/>
      <c r="E330"/>
      <c r="F330" s="6"/>
      <c r="G330"/>
    </row>
    <row r="331" spans="3:7">
      <c r="C331"/>
      <c r="D331"/>
      <c r="E331"/>
      <c r="F331" s="6"/>
      <c r="G331"/>
    </row>
    <row r="332" spans="3:7">
      <c r="C332"/>
      <c r="D332"/>
      <c r="E332"/>
      <c r="F332" s="6"/>
      <c r="G332"/>
    </row>
    <row r="333" spans="3:7">
      <c r="C333"/>
      <c r="D333"/>
      <c r="E333"/>
      <c r="F333" s="6"/>
      <c r="G333"/>
    </row>
    <row r="334" spans="3:7">
      <c r="C334"/>
      <c r="D334"/>
      <c r="E334"/>
      <c r="F334" s="6"/>
      <c r="G334"/>
    </row>
    <row r="335" spans="3:7">
      <c r="C335"/>
      <c r="D335"/>
      <c r="E335"/>
      <c r="F335" s="6"/>
      <c r="G335"/>
    </row>
    <row r="336" spans="3:7">
      <c r="C336"/>
      <c r="D336"/>
      <c r="E336"/>
      <c r="F336" s="6"/>
      <c r="G336"/>
    </row>
    <row r="337" spans="3:7">
      <c r="C337"/>
      <c r="D337"/>
      <c r="E337"/>
      <c r="F337" s="6"/>
      <c r="G337"/>
    </row>
    <row r="338" spans="3:7">
      <c r="C338"/>
      <c r="D338"/>
      <c r="E338"/>
      <c r="F338" s="6"/>
      <c r="G338"/>
    </row>
    <row r="339" spans="3:7">
      <c r="C339"/>
      <c r="D339"/>
      <c r="E339"/>
      <c r="F339" s="6"/>
      <c r="G339"/>
    </row>
    <row r="340" spans="3:7">
      <c r="C340"/>
      <c r="D340"/>
      <c r="E340"/>
      <c r="F340" s="6"/>
      <c r="G340"/>
    </row>
    <row r="341" spans="3:7">
      <c r="C341"/>
      <c r="D341"/>
      <c r="E341"/>
      <c r="F341" s="6"/>
      <c r="G341"/>
    </row>
    <row r="342" spans="3:7">
      <c r="C342"/>
      <c r="D342"/>
      <c r="E342"/>
      <c r="F342" s="6"/>
      <c r="G342"/>
    </row>
    <row r="343" spans="3:7">
      <c r="C343"/>
      <c r="D343"/>
      <c r="E343"/>
      <c r="F343" s="6"/>
      <c r="G343"/>
    </row>
    <row r="344" spans="3:7">
      <c r="C344"/>
      <c r="D344"/>
      <c r="E344"/>
      <c r="F344" s="6"/>
      <c r="G344"/>
    </row>
    <row r="345" spans="3:7">
      <c r="C345"/>
      <c r="D345"/>
      <c r="E345"/>
      <c r="F345" s="6"/>
      <c r="G345"/>
    </row>
    <row r="346" spans="3:7">
      <c r="C346"/>
      <c r="D346"/>
      <c r="E346"/>
      <c r="F346" s="6"/>
      <c r="G346"/>
    </row>
    <row r="347" spans="3:7">
      <c r="C347"/>
      <c r="D347"/>
      <c r="E347"/>
      <c r="F347" s="6"/>
      <c r="G347"/>
    </row>
    <row r="348" spans="3:7">
      <c r="C348"/>
      <c r="D348"/>
      <c r="E348"/>
      <c r="F348" s="6"/>
      <c r="G348"/>
    </row>
    <row r="349" spans="3:7">
      <c r="C349"/>
      <c r="D349"/>
      <c r="E349"/>
      <c r="F349" s="6"/>
      <c r="G349"/>
    </row>
    <row r="350" spans="3:7">
      <c r="C350"/>
      <c r="D350"/>
      <c r="E350"/>
      <c r="F350" s="6"/>
      <c r="G350"/>
    </row>
    <row r="351" spans="3:7">
      <c r="C351"/>
      <c r="D351"/>
      <c r="E351"/>
      <c r="F351" s="6"/>
      <c r="G351"/>
    </row>
    <row r="352" spans="3:7">
      <c r="C352"/>
      <c r="D352"/>
      <c r="E352"/>
      <c r="F352" s="6"/>
      <c r="G352"/>
    </row>
    <row r="353" spans="3:7">
      <c r="C353"/>
      <c r="D353"/>
      <c r="E353"/>
      <c r="F353" s="6"/>
      <c r="G353"/>
    </row>
    <row r="354" spans="3:7">
      <c r="C354"/>
      <c r="D354"/>
      <c r="E354"/>
      <c r="F354" s="6"/>
      <c r="G354"/>
    </row>
    <row r="355" spans="3:7">
      <c r="C355"/>
      <c r="D355"/>
      <c r="E355"/>
      <c r="F355" s="6"/>
      <c r="G355"/>
    </row>
    <row r="356" spans="3:7">
      <c r="C356"/>
      <c r="D356"/>
      <c r="E356"/>
      <c r="F356" s="6"/>
      <c r="G356"/>
    </row>
    <row r="357" spans="3:7">
      <c r="C357"/>
      <c r="D357"/>
      <c r="E357"/>
      <c r="F357" s="6"/>
      <c r="G357"/>
    </row>
    <row r="358" spans="3:7">
      <c r="C358"/>
      <c r="D358"/>
      <c r="E358"/>
      <c r="F358" s="6"/>
      <c r="G358"/>
    </row>
    <row r="359" spans="3:7">
      <c r="C359"/>
      <c r="D359"/>
      <c r="E359"/>
      <c r="F359" s="6"/>
      <c r="G359"/>
    </row>
    <row r="360" spans="3:7">
      <c r="C360"/>
      <c r="D360"/>
      <c r="E360"/>
      <c r="F360" s="6"/>
      <c r="G360"/>
    </row>
    <row r="361" spans="3:7">
      <c r="C361"/>
      <c r="D361"/>
      <c r="E361"/>
      <c r="F361" s="6"/>
      <c r="G361"/>
    </row>
    <row r="362" spans="3:7">
      <c r="C362"/>
      <c r="D362"/>
      <c r="E362"/>
      <c r="F362" s="6"/>
      <c r="G362"/>
    </row>
    <row r="363" spans="3:7">
      <c r="C363"/>
      <c r="D363"/>
      <c r="E363"/>
      <c r="F363" s="6"/>
      <c r="G363"/>
    </row>
    <row r="364" spans="3:7">
      <c r="C364"/>
      <c r="D364"/>
      <c r="E364"/>
      <c r="F364" s="6"/>
      <c r="G364"/>
    </row>
    <row r="365" spans="3:7">
      <c r="C365"/>
      <c r="D365"/>
      <c r="E365"/>
      <c r="F365" s="6"/>
      <c r="G365"/>
    </row>
    <row r="366" spans="3:7">
      <c r="C366"/>
      <c r="D366"/>
      <c r="E366"/>
      <c r="F366" s="6"/>
      <c r="G366"/>
    </row>
    <row r="367" spans="3:7">
      <c r="C367"/>
      <c r="D367"/>
      <c r="E367"/>
      <c r="F367" s="6"/>
      <c r="G367"/>
    </row>
    <row r="368" spans="3:7">
      <c r="C368"/>
      <c r="D368"/>
      <c r="E368"/>
      <c r="F368" s="6"/>
      <c r="G368"/>
    </row>
    <row r="369" spans="3:7">
      <c r="C369"/>
      <c r="D369"/>
      <c r="E369"/>
      <c r="F369" s="6"/>
      <c r="G369"/>
    </row>
    <row r="370" spans="3:7">
      <c r="C370"/>
      <c r="D370"/>
      <c r="E370"/>
      <c r="F370" s="6"/>
      <c r="G370"/>
    </row>
    <row r="371" spans="3:7">
      <c r="C371"/>
      <c r="D371"/>
      <c r="E371"/>
      <c r="F371" s="6"/>
      <c r="G371"/>
    </row>
    <row r="372" spans="3:7">
      <c r="C372"/>
      <c r="D372"/>
      <c r="E372"/>
      <c r="F372" s="6"/>
      <c r="G372"/>
    </row>
    <row r="373" spans="3:7">
      <c r="C373"/>
      <c r="D373"/>
      <c r="E373"/>
      <c r="F373" s="6"/>
      <c r="G373"/>
    </row>
    <row r="374" spans="3:7">
      <c r="C374"/>
      <c r="D374"/>
      <c r="E374"/>
      <c r="F374" s="6"/>
      <c r="G374"/>
    </row>
    <row r="375" spans="3:7">
      <c r="C375"/>
      <c r="D375"/>
      <c r="E375"/>
      <c r="F375" s="6"/>
      <c r="G375"/>
    </row>
    <row r="376" spans="3:7">
      <c r="C376"/>
      <c r="D376"/>
      <c r="E376"/>
      <c r="F376" s="6"/>
      <c r="G376"/>
    </row>
    <row r="377" spans="3:7">
      <c r="C377"/>
      <c r="D377"/>
      <c r="E377"/>
      <c r="F377" s="6"/>
      <c r="G377"/>
    </row>
    <row r="378" spans="3:7">
      <c r="C378"/>
      <c r="D378"/>
      <c r="E378"/>
      <c r="F378" s="6"/>
      <c r="G378"/>
    </row>
    <row r="379" spans="3:7">
      <c r="C379"/>
      <c r="D379"/>
      <c r="E379"/>
      <c r="F379" s="6"/>
      <c r="G379"/>
    </row>
    <row r="380" spans="3:7">
      <c r="C380"/>
      <c r="D380"/>
      <c r="E380"/>
      <c r="F380" s="6"/>
      <c r="G380"/>
    </row>
    <row r="381" spans="3:7">
      <c r="C381"/>
      <c r="D381"/>
      <c r="E381"/>
      <c r="F381" s="6"/>
      <c r="G381"/>
    </row>
    <row r="382" spans="3:7">
      <c r="C382"/>
      <c r="D382"/>
      <c r="E382"/>
      <c r="F382" s="6"/>
      <c r="G382"/>
    </row>
    <row r="383" spans="3:7">
      <c r="C383"/>
      <c r="D383"/>
      <c r="E383"/>
      <c r="F383" s="6"/>
      <c r="G383"/>
    </row>
    <row r="384" spans="3:7">
      <c r="C384"/>
      <c r="D384"/>
      <c r="E384"/>
      <c r="F384" s="6"/>
      <c r="G384"/>
    </row>
    <row r="385" spans="3:7">
      <c r="C385"/>
      <c r="D385"/>
      <c r="E385"/>
      <c r="F385" s="6"/>
      <c r="G385"/>
    </row>
    <row r="386" spans="3:7">
      <c r="C386"/>
      <c r="D386"/>
      <c r="E386"/>
      <c r="F386" s="6"/>
      <c r="G386"/>
    </row>
    <row r="387" spans="3:7">
      <c r="C387"/>
      <c r="D387"/>
      <c r="E387"/>
      <c r="F387" s="6"/>
      <c r="G387"/>
    </row>
    <row r="388" spans="3:7">
      <c r="C388"/>
      <c r="D388"/>
      <c r="E388"/>
      <c r="F388" s="6"/>
      <c r="G388"/>
    </row>
    <row r="389" spans="3:7">
      <c r="C389"/>
      <c r="D389"/>
      <c r="E389"/>
      <c r="F389" s="6"/>
      <c r="G389"/>
    </row>
    <row r="390" spans="3:7">
      <c r="C390"/>
      <c r="D390"/>
      <c r="E390"/>
      <c r="F390" s="6"/>
      <c r="G390"/>
    </row>
    <row r="391" spans="3:7">
      <c r="C391"/>
      <c r="D391"/>
      <c r="E391"/>
      <c r="F391" s="6"/>
      <c r="G391"/>
    </row>
    <row r="392" spans="3:7">
      <c r="C392"/>
      <c r="D392"/>
      <c r="E392"/>
      <c r="F392" s="6"/>
      <c r="G392"/>
    </row>
    <row r="393" spans="3:7">
      <c r="C393"/>
      <c r="D393"/>
      <c r="E393"/>
      <c r="F393" s="6"/>
      <c r="G393"/>
    </row>
    <row r="394" spans="3:7">
      <c r="C394"/>
      <c r="D394"/>
      <c r="E394"/>
      <c r="F394" s="6"/>
      <c r="G394"/>
    </row>
    <row r="395" spans="3:7">
      <c r="C395"/>
      <c r="D395"/>
      <c r="E395"/>
      <c r="F395" s="6"/>
      <c r="G395"/>
    </row>
    <row r="396" spans="3:7">
      <c r="C396"/>
      <c r="D396"/>
      <c r="E396"/>
      <c r="F396" s="6"/>
      <c r="G396"/>
    </row>
    <row r="397" spans="3:7">
      <c r="C397"/>
      <c r="D397"/>
      <c r="E397"/>
      <c r="F397" s="6"/>
      <c r="G397"/>
    </row>
    <row r="398" spans="3:7">
      <c r="C398"/>
      <c r="D398"/>
      <c r="E398"/>
      <c r="F398" s="6"/>
      <c r="G398"/>
    </row>
    <row r="399" spans="3:7">
      <c r="C399"/>
      <c r="D399"/>
      <c r="E399"/>
      <c r="F399" s="6"/>
      <c r="G399"/>
    </row>
    <row r="400" spans="3:7">
      <c r="C400"/>
      <c r="D400"/>
      <c r="E400"/>
      <c r="F400" s="6"/>
      <c r="G400"/>
    </row>
    <row r="401" spans="3:7">
      <c r="C401"/>
      <c r="D401"/>
      <c r="E401"/>
      <c r="F401" s="6"/>
      <c r="G401"/>
    </row>
    <row r="402" spans="3:7">
      <c r="C402"/>
      <c r="D402"/>
      <c r="E402"/>
      <c r="F402" s="6"/>
      <c r="G402"/>
    </row>
    <row r="403" spans="3:7">
      <c r="C403"/>
      <c r="D403"/>
      <c r="E403"/>
      <c r="F403" s="6"/>
      <c r="G403"/>
    </row>
    <row r="404" spans="3:7">
      <c r="C404"/>
      <c r="D404"/>
      <c r="E404"/>
      <c r="F404" s="6"/>
      <c r="G404"/>
    </row>
    <row r="405" spans="3:7">
      <c r="C405"/>
      <c r="D405"/>
      <c r="E405"/>
      <c r="F405" s="6"/>
      <c r="G405"/>
    </row>
    <row r="406" spans="3:7">
      <c r="C406"/>
      <c r="D406"/>
      <c r="E406"/>
      <c r="F406" s="6"/>
      <c r="G406"/>
    </row>
    <row r="407" spans="3:7">
      <c r="C407"/>
      <c r="D407"/>
      <c r="E407"/>
      <c r="F407" s="6"/>
      <c r="G407"/>
    </row>
    <row r="408" spans="3:7">
      <c r="C408"/>
      <c r="D408"/>
      <c r="E408"/>
      <c r="F408" s="6"/>
      <c r="G408"/>
    </row>
    <row r="409" spans="3:7">
      <c r="C409"/>
      <c r="D409"/>
      <c r="E409"/>
      <c r="F409" s="6"/>
      <c r="G409"/>
    </row>
    <row r="410" spans="3:7">
      <c r="C410"/>
      <c r="D410"/>
      <c r="E410"/>
      <c r="F410" s="6"/>
      <c r="G410"/>
    </row>
    <row r="411" spans="3:7">
      <c r="C411"/>
      <c r="D411"/>
      <c r="E411"/>
      <c r="F411" s="6"/>
      <c r="G411"/>
    </row>
    <row r="412" spans="3:7">
      <c r="C412"/>
      <c r="D412"/>
      <c r="E412"/>
      <c r="F412" s="6"/>
      <c r="G412"/>
    </row>
    <row r="413" spans="3:7">
      <c r="C413"/>
      <c r="D413"/>
      <c r="E413"/>
      <c r="F413" s="6"/>
      <c r="G413"/>
    </row>
    <row r="414" spans="3:7">
      <c r="C414"/>
      <c r="D414"/>
      <c r="E414"/>
      <c r="F414" s="6"/>
      <c r="G414"/>
    </row>
    <row r="415" spans="3:7">
      <c r="C415"/>
      <c r="D415"/>
      <c r="E415"/>
      <c r="F415" s="6"/>
      <c r="G415"/>
    </row>
    <row r="416" spans="3:7">
      <c r="C416"/>
      <c r="D416"/>
      <c r="E416"/>
      <c r="F416" s="6"/>
      <c r="G416"/>
    </row>
    <row r="417" spans="3:7">
      <c r="C417"/>
      <c r="D417"/>
      <c r="E417"/>
      <c r="F417" s="6"/>
      <c r="G417"/>
    </row>
    <row r="418" spans="3:7">
      <c r="C418"/>
      <c r="D418"/>
      <c r="E418"/>
      <c r="F418" s="6"/>
      <c r="G418"/>
    </row>
    <row r="419" spans="3:7">
      <c r="C419"/>
      <c r="D419"/>
      <c r="E419"/>
      <c r="F419" s="6"/>
      <c r="G419"/>
    </row>
    <row r="420" spans="3:7">
      <c r="C420"/>
      <c r="D420"/>
      <c r="E420"/>
      <c r="F420" s="6"/>
      <c r="G420"/>
    </row>
    <row r="421" spans="3:7">
      <c r="C421"/>
      <c r="D421"/>
      <c r="E421"/>
      <c r="F421" s="6"/>
      <c r="G421"/>
    </row>
    <row r="422" spans="3:7">
      <c r="C422"/>
      <c r="D422"/>
      <c r="E422"/>
      <c r="F422" s="6"/>
      <c r="G422"/>
    </row>
    <row r="423" spans="3:7">
      <c r="C423"/>
      <c r="D423"/>
      <c r="E423"/>
      <c r="F423" s="6"/>
      <c r="G423"/>
    </row>
    <row r="424" spans="3:7">
      <c r="C424"/>
      <c r="D424"/>
      <c r="E424"/>
      <c r="F424" s="6"/>
      <c r="G424"/>
    </row>
    <row r="425" spans="3:7">
      <c r="C425"/>
      <c r="D425"/>
      <c r="E425"/>
      <c r="F425" s="6"/>
      <c r="G425"/>
    </row>
    <row r="426" spans="3:7">
      <c r="C426"/>
      <c r="D426"/>
      <c r="E426"/>
      <c r="F426" s="6"/>
      <c r="G426"/>
    </row>
    <row r="427" spans="3:7">
      <c r="C427"/>
      <c r="D427"/>
      <c r="E427"/>
      <c r="F427" s="6"/>
      <c r="G427"/>
    </row>
    <row r="428" spans="3:7">
      <c r="C428"/>
      <c r="D428"/>
      <c r="E428"/>
      <c r="F428" s="6"/>
      <c r="G428"/>
    </row>
    <row r="429" spans="3:7">
      <c r="C429"/>
      <c r="D429"/>
      <c r="E429"/>
      <c r="F429" s="6"/>
      <c r="G429"/>
    </row>
    <row r="430" spans="3:7">
      <c r="C430"/>
      <c r="D430"/>
      <c r="E430"/>
      <c r="F430" s="6"/>
      <c r="G430"/>
    </row>
    <row r="431" spans="3:7">
      <c r="C431"/>
      <c r="D431"/>
      <c r="E431"/>
      <c r="F431" s="6"/>
      <c r="G431"/>
    </row>
    <row r="432" spans="3:7">
      <c r="C432"/>
      <c r="D432"/>
      <c r="E432"/>
      <c r="F432" s="6"/>
      <c r="G432"/>
    </row>
    <row r="433" spans="3:7">
      <c r="C433"/>
      <c r="D433"/>
      <c r="E433"/>
      <c r="F433" s="6"/>
      <c r="G433"/>
    </row>
    <row r="434" spans="3:7">
      <c r="C434"/>
      <c r="D434"/>
      <c r="E434"/>
      <c r="F434" s="6"/>
      <c r="G434"/>
    </row>
    <row r="435" spans="3:7">
      <c r="C435"/>
      <c r="D435"/>
      <c r="E435"/>
      <c r="F435" s="6"/>
      <c r="G435"/>
    </row>
    <row r="436" spans="3:7">
      <c r="C436"/>
      <c r="D436"/>
      <c r="E436"/>
      <c r="F436" s="6"/>
      <c r="G436"/>
    </row>
    <row r="437" spans="3:7">
      <c r="C437"/>
      <c r="D437"/>
      <c r="E437"/>
      <c r="F437" s="6"/>
      <c r="G437"/>
    </row>
    <row r="438" spans="3:7">
      <c r="C438"/>
      <c r="D438"/>
      <c r="E438"/>
      <c r="F438" s="6"/>
      <c r="G438"/>
    </row>
    <row r="439" spans="3:7">
      <c r="C439"/>
      <c r="D439"/>
      <c r="E439"/>
      <c r="F439" s="6"/>
      <c r="G439"/>
    </row>
    <row r="440" spans="3:7">
      <c r="C440"/>
      <c r="D440"/>
      <c r="E440"/>
      <c r="F440" s="6"/>
      <c r="G440"/>
    </row>
    <row r="441" spans="3:7">
      <c r="C441"/>
      <c r="D441"/>
      <c r="E441"/>
      <c r="F441" s="6"/>
      <c r="G441"/>
    </row>
    <row r="442" spans="3:7">
      <c r="C442"/>
      <c r="D442"/>
      <c r="E442"/>
      <c r="F442" s="6"/>
      <c r="G442"/>
    </row>
    <row r="443" spans="3:7">
      <c r="C443"/>
      <c r="D443"/>
      <c r="E443"/>
      <c r="F443" s="6"/>
      <c r="G443"/>
    </row>
    <row r="444" spans="3:7">
      <c r="C444"/>
      <c r="D444"/>
      <c r="E444"/>
      <c r="F444" s="6"/>
      <c r="G444"/>
    </row>
    <row r="445" spans="3:7">
      <c r="C445"/>
      <c r="D445"/>
      <c r="E445"/>
      <c r="F445" s="6"/>
      <c r="G445"/>
    </row>
    <row r="446" spans="3:7">
      <c r="C446"/>
      <c r="D446"/>
      <c r="E446"/>
      <c r="F446" s="6"/>
      <c r="G446"/>
    </row>
    <row r="447" spans="3:7">
      <c r="C447"/>
      <c r="D447"/>
      <c r="E447"/>
      <c r="F447" s="6"/>
      <c r="G447"/>
    </row>
    <row r="448" spans="3:7">
      <c r="C448"/>
      <c r="D448"/>
      <c r="E448"/>
      <c r="F448" s="6"/>
      <c r="G448"/>
    </row>
    <row r="449" spans="3:7">
      <c r="C449"/>
      <c r="D449"/>
      <c r="E449"/>
      <c r="F449" s="6"/>
      <c r="G449"/>
    </row>
    <row r="450" spans="3:7">
      <c r="C450"/>
      <c r="D450"/>
      <c r="E450"/>
      <c r="F450" s="6"/>
      <c r="G450"/>
    </row>
    <row r="451" spans="3:7">
      <c r="C451"/>
      <c r="D451"/>
      <c r="E451"/>
      <c r="F451" s="6"/>
      <c r="G451"/>
    </row>
    <row r="452" spans="3:7">
      <c r="C452"/>
      <c r="D452"/>
      <c r="E452"/>
      <c r="F452" s="6"/>
      <c r="G452"/>
    </row>
    <row r="453" spans="3:7">
      <c r="C453"/>
      <c r="D453"/>
      <c r="E453"/>
      <c r="F453" s="6"/>
      <c r="G453"/>
    </row>
    <row r="454" spans="3:7">
      <c r="C454"/>
      <c r="D454"/>
      <c r="E454"/>
      <c r="F454" s="6"/>
      <c r="G454"/>
    </row>
    <row r="455" spans="3:7">
      <c r="C455"/>
      <c r="D455"/>
      <c r="E455"/>
      <c r="F455" s="6"/>
      <c r="G455"/>
    </row>
    <row r="456" spans="3:7">
      <c r="C456"/>
      <c r="D456"/>
      <c r="E456"/>
      <c r="F456" s="6"/>
      <c r="G456"/>
    </row>
    <row r="457" spans="3:7">
      <c r="C457"/>
      <c r="D457"/>
      <c r="E457"/>
      <c r="F457" s="6"/>
      <c r="G457"/>
    </row>
    <row r="458" spans="3:7">
      <c r="C458"/>
      <c r="D458"/>
      <c r="E458"/>
      <c r="F458" s="6"/>
      <c r="G458"/>
    </row>
    <row r="459" spans="3:7">
      <c r="C459"/>
      <c r="D459"/>
      <c r="E459"/>
      <c r="F459" s="6"/>
      <c r="G459"/>
    </row>
    <row r="460" spans="3:7">
      <c r="C460"/>
      <c r="D460"/>
      <c r="E460"/>
      <c r="F460" s="6"/>
      <c r="G460"/>
    </row>
    <row r="461" spans="3:7">
      <c r="C461"/>
      <c r="D461"/>
      <c r="E461"/>
      <c r="F461" s="6"/>
      <c r="G461"/>
    </row>
    <row r="462" spans="3:7">
      <c r="C462"/>
      <c r="D462"/>
      <c r="E462"/>
      <c r="F462" s="6"/>
      <c r="G462"/>
    </row>
    <row r="463" spans="3:7">
      <c r="C463"/>
      <c r="D463"/>
      <c r="E463"/>
      <c r="F463" s="6"/>
      <c r="G463"/>
    </row>
    <row r="464" spans="3:7">
      <c r="C464"/>
      <c r="D464"/>
      <c r="E464"/>
      <c r="F464" s="6"/>
      <c r="G464"/>
    </row>
    <row r="465" spans="3:7">
      <c r="C465"/>
      <c r="D465"/>
      <c r="E465"/>
      <c r="F465" s="6"/>
      <c r="G465"/>
    </row>
    <row r="466" spans="3:7">
      <c r="C466"/>
      <c r="D466"/>
      <c r="E466"/>
      <c r="F466" s="6"/>
      <c r="G466"/>
    </row>
    <row r="467" spans="3:7">
      <c r="C467"/>
      <c r="D467"/>
      <c r="E467"/>
      <c r="F467" s="6"/>
      <c r="G467"/>
    </row>
    <row r="468" spans="3:7">
      <c r="C468"/>
      <c r="D468"/>
      <c r="E468"/>
      <c r="F468" s="6"/>
      <c r="G468"/>
    </row>
    <row r="469" spans="3:7">
      <c r="C469"/>
      <c r="D469"/>
      <c r="E469"/>
      <c r="F469" s="6"/>
      <c r="G469"/>
    </row>
    <row r="470" spans="3:7">
      <c r="C470"/>
      <c r="D470"/>
      <c r="E470"/>
      <c r="F470" s="6"/>
      <c r="G470"/>
    </row>
    <row r="471" spans="3:7">
      <c r="C471"/>
      <c r="D471"/>
      <c r="E471"/>
      <c r="F471" s="6"/>
      <c r="G471"/>
    </row>
    <row r="472" spans="3:7">
      <c r="C472"/>
      <c r="D472"/>
      <c r="E472"/>
      <c r="F472" s="6"/>
      <c r="G472"/>
    </row>
    <row r="473" spans="3:7">
      <c r="C473"/>
      <c r="D473"/>
      <c r="E473"/>
      <c r="F473" s="6"/>
      <c r="G473"/>
    </row>
    <row r="474" spans="3:7">
      <c r="C474"/>
      <c r="D474"/>
      <c r="E474"/>
      <c r="F474" s="6"/>
      <c r="G474"/>
    </row>
    <row r="475" spans="3:7">
      <c r="C475"/>
      <c r="D475"/>
      <c r="E475"/>
      <c r="F475" s="6"/>
      <c r="G475"/>
    </row>
    <row r="476" spans="3:7">
      <c r="C476"/>
      <c r="D476"/>
      <c r="E476"/>
      <c r="F476" s="6"/>
      <c r="G476"/>
    </row>
    <row r="477" spans="3:7">
      <c r="C477"/>
      <c r="D477"/>
      <c r="E477"/>
      <c r="F477" s="6"/>
      <c r="G477"/>
    </row>
    <row r="478" spans="3:7">
      <c r="C478"/>
      <c r="D478"/>
      <c r="E478"/>
      <c r="F478" s="6"/>
      <c r="G478"/>
    </row>
    <row r="479" spans="3:7">
      <c r="C479"/>
      <c r="D479"/>
      <c r="E479"/>
      <c r="F479" s="6"/>
      <c r="G479"/>
    </row>
    <row r="480" spans="3:7">
      <c r="C480"/>
      <c r="D480"/>
      <c r="E480"/>
      <c r="F480" s="6"/>
      <c r="G480"/>
    </row>
    <row r="481" spans="3:7">
      <c r="C481"/>
      <c r="D481"/>
      <c r="E481"/>
      <c r="F481" s="6"/>
      <c r="G481"/>
    </row>
    <row r="482" spans="3:7">
      <c r="C482"/>
      <c r="D482"/>
      <c r="E482"/>
      <c r="F482" s="6"/>
      <c r="G482"/>
    </row>
    <row r="483" spans="3:7">
      <c r="C483"/>
      <c r="D483"/>
      <c r="E483"/>
      <c r="F483" s="6"/>
      <c r="G483"/>
    </row>
    <row r="484" spans="3:7">
      <c r="C484"/>
      <c r="D484"/>
      <c r="E484"/>
      <c r="F484" s="6"/>
      <c r="G484"/>
    </row>
    <row r="485" spans="3:7">
      <c r="C485"/>
      <c r="D485"/>
      <c r="E485"/>
      <c r="F485" s="6"/>
      <c r="G485"/>
    </row>
    <row r="486" spans="3:7">
      <c r="C486"/>
      <c r="D486"/>
      <c r="E486"/>
      <c r="F486" s="6"/>
      <c r="G486"/>
    </row>
    <row r="487" spans="3:7">
      <c r="C487"/>
      <c r="D487"/>
      <c r="E487"/>
      <c r="F487" s="6"/>
      <c r="G487"/>
    </row>
    <row r="488" spans="3:7">
      <c r="C488"/>
      <c r="D488"/>
      <c r="E488"/>
      <c r="F488" s="6"/>
      <c r="G488"/>
    </row>
    <row r="489" spans="3:7">
      <c r="C489"/>
      <c r="D489"/>
      <c r="E489"/>
      <c r="F489" s="6"/>
      <c r="G489"/>
    </row>
    <row r="490" spans="3:7">
      <c r="C490"/>
      <c r="D490"/>
      <c r="E490"/>
      <c r="F490" s="6"/>
      <c r="G490"/>
    </row>
    <row r="491" spans="3:7">
      <c r="C491"/>
      <c r="D491"/>
      <c r="E491"/>
      <c r="F491" s="6"/>
      <c r="G491"/>
    </row>
    <row r="492" spans="3:7">
      <c r="C492"/>
      <c r="D492"/>
      <c r="E492"/>
      <c r="F492" s="6"/>
      <c r="G492"/>
    </row>
    <row r="493" spans="3:7">
      <c r="C493"/>
      <c r="D493"/>
      <c r="E493"/>
      <c r="F493" s="6"/>
      <c r="G493"/>
    </row>
    <row r="494" spans="3:7">
      <c r="C494"/>
      <c r="D494"/>
      <c r="E494"/>
      <c r="F494" s="6"/>
      <c r="G494"/>
    </row>
    <row r="495" spans="3:7">
      <c r="C495"/>
      <c r="D495"/>
      <c r="E495"/>
      <c r="F495" s="6"/>
      <c r="G495"/>
    </row>
    <row r="496" spans="3:7">
      <c r="C496"/>
      <c r="D496"/>
      <c r="E496"/>
      <c r="F496" s="6"/>
      <c r="G496"/>
    </row>
    <row r="497" spans="3:7">
      <c r="C497"/>
      <c r="D497"/>
      <c r="E497"/>
      <c r="F497" s="6"/>
      <c r="G497"/>
    </row>
    <row r="498" spans="3:7">
      <c r="C498"/>
      <c r="D498"/>
      <c r="E498"/>
      <c r="F498" s="6"/>
      <c r="G498"/>
    </row>
    <row r="499" spans="3:7">
      <c r="C499"/>
      <c r="D499"/>
      <c r="E499"/>
      <c r="F499" s="6"/>
      <c r="G499"/>
    </row>
    <row r="500" spans="3:7">
      <c r="C500"/>
      <c r="D500"/>
      <c r="E500"/>
      <c r="F500" s="6"/>
      <c r="G500"/>
    </row>
    <row r="501" spans="3:7">
      <c r="C501"/>
      <c r="D501"/>
      <c r="E501"/>
      <c r="F501" s="6"/>
      <c r="G501"/>
    </row>
    <row r="502" spans="3:7">
      <c r="C502"/>
      <c r="D502"/>
      <c r="E502"/>
      <c r="F502" s="6"/>
      <c r="G502"/>
    </row>
    <row r="503" spans="3:7">
      <c r="C503"/>
      <c r="D503"/>
      <c r="E503"/>
      <c r="F503" s="6"/>
      <c r="G503"/>
    </row>
    <row r="504" spans="3:7">
      <c r="C504"/>
      <c r="D504"/>
      <c r="E504"/>
      <c r="F504" s="6"/>
      <c r="G504"/>
    </row>
    <row r="505" spans="3:7">
      <c r="C505"/>
      <c r="D505"/>
      <c r="E505"/>
      <c r="F505" s="6"/>
      <c r="G505"/>
    </row>
    <row r="506" spans="3:7">
      <c r="C506"/>
      <c r="D506"/>
      <c r="E506"/>
      <c r="F506" s="6"/>
      <c r="G506"/>
    </row>
    <row r="507" spans="3:7">
      <c r="C507"/>
      <c r="D507"/>
      <c r="E507"/>
      <c r="F507" s="6"/>
      <c r="G507"/>
    </row>
    <row r="508" spans="3:7">
      <c r="C508"/>
      <c r="D508"/>
      <c r="E508"/>
      <c r="F508" s="6"/>
      <c r="G508"/>
    </row>
    <row r="509" spans="3:7">
      <c r="C509"/>
      <c r="D509"/>
      <c r="E509"/>
      <c r="F509" s="6"/>
      <c r="G509"/>
    </row>
    <row r="510" spans="3:7">
      <c r="C510"/>
      <c r="D510"/>
      <c r="E510"/>
      <c r="F510" s="6"/>
      <c r="G510"/>
    </row>
    <row r="511" spans="3:7">
      <c r="C511"/>
      <c r="D511"/>
      <c r="E511"/>
      <c r="F511" s="6"/>
      <c r="G511"/>
    </row>
    <row r="512" spans="3:7">
      <c r="C512"/>
      <c r="D512"/>
      <c r="E512"/>
      <c r="F512" s="6"/>
      <c r="G512"/>
    </row>
    <row r="513" spans="3:7">
      <c r="C513"/>
      <c r="D513"/>
      <c r="E513"/>
      <c r="F513" s="6"/>
      <c r="G513"/>
    </row>
    <row r="514" spans="3:7">
      <c r="C514"/>
      <c r="D514"/>
      <c r="E514"/>
      <c r="F514" s="6"/>
      <c r="G514"/>
    </row>
    <row r="515" spans="3:7">
      <c r="C515"/>
      <c r="D515"/>
      <c r="E515"/>
      <c r="F515" s="6"/>
      <c r="G515"/>
    </row>
    <row r="516" spans="3:7">
      <c r="C516"/>
      <c r="D516"/>
      <c r="E516"/>
      <c r="F516" s="6"/>
      <c r="G516"/>
    </row>
    <row r="517" spans="3:7">
      <c r="C517"/>
      <c r="D517"/>
      <c r="E517"/>
      <c r="F517" s="6"/>
      <c r="G517"/>
    </row>
    <row r="518" spans="3:7">
      <c r="C518"/>
      <c r="D518"/>
      <c r="E518"/>
      <c r="F518" s="6"/>
      <c r="G518"/>
    </row>
    <row r="519" spans="3:7">
      <c r="C519"/>
      <c r="D519"/>
      <c r="E519"/>
      <c r="F519" s="6"/>
      <c r="G519"/>
    </row>
    <row r="520" spans="3:7">
      <c r="C520"/>
      <c r="D520"/>
      <c r="E520"/>
      <c r="F520" s="6"/>
      <c r="G520"/>
    </row>
    <row r="521" spans="3:7">
      <c r="C521"/>
      <c r="D521"/>
      <c r="E521"/>
      <c r="F521" s="6"/>
      <c r="G521"/>
    </row>
    <row r="522" spans="3:7">
      <c r="C522"/>
      <c r="D522"/>
      <c r="E522"/>
      <c r="F522" s="6"/>
      <c r="G522"/>
    </row>
    <row r="523" spans="3:7">
      <c r="C523"/>
      <c r="D523"/>
      <c r="E523"/>
      <c r="F523" s="6"/>
      <c r="G523"/>
    </row>
    <row r="524" spans="3:7">
      <c r="C524"/>
      <c r="D524"/>
      <c r="E524"/>
      <c r="F524" s="6"/>
      <c r="G524"/>
    </row>
    <row r="525" spans="3:7">
      <c r="C525"/>
      <c r="D525"/>
      <c r="E525"/>
      <c r="F525" s="6"/>
      <c r="G525"/>
    </row>
    <row r="526" spans="3:7">
      <c r="C526"/>
      <c r="D526"/>
      <c r="E526"/>
      <c r="F526" s="6"/>
      <c r="G526"/>
    </row>
    <row r="527" spans="3:7">
      <c r="C527"/>
      <c r="D527"/>
      <c r="E527"/>
      <c r="F527" s="6"/>
      <c r="G527"/>
    </row>
    <row r="528" spans="3:7">
      <c r="C528"/>
      <c r="D528"/>
      <c r="E528"/>
      <c r="F528" s="6"/>
      <c r="G528"/>
    </row>
    <row r="529" spans="3:7">
      <c r="C529"/>
      <c r="D529"/>
      <c r="E529"/>
      <c r="F529" s="6"/>
      <c r="G529"/>
    </row>
    <row r="530" spans="3:7">
      <c r="C530"/>
      <c r="D530"/>
      <c r="E530"/>
      <c r="F530" s="6"/>
      <c r="G530"/>
    </row>
    <row r="531" spans="3:7">
      <c r="C531"/>
      <c r="D531"/>
      <c r="E531"/>
      <c r="F531" s="6"/>
      <c r="G531"/>
    </row>
    <row r="532" spans="3:7">
      <c r="C532"/>
      <c r="D532"/>
      <c r="E532"/>
      <c r="F532" s="6"/>
      <c r="G532"/>
    </row>
    <row r="533" spans="3:7">
      <c r="C533"/>
      <c r="D533"/>
      <c r="E533"/>
      <c r="F533" s="6"/>
      <c r="G533"/>
    </row>
    <row r="534" spans="3:7">
      <c r="C534"/>
      <c r="D534"/>
      <c r="E534"/>
      <c r="F534" s="6"/>
      <c r="G534"/>
    </row>
    <row r="535" spans="3:7">
      <c r="C535"/>
      <c r="D535"/>
      <c r="E535"/>
      <c r="F535" s="6"/>
      <c r="G535"/>
    </row>
    <row r="536" spans="3:7">
      <c r="C536"/>
      <c r="D536"/>
      <c r="E536"/>
      <c r="F536" s="6"/>
      <c r="G536"/>
    </row>
    <row r="537" spans="3:7">
      <c r="C537"/>
      <c r="D537"/>
      <c r="E537"/>
      <c r="F537" s="6"/>
      <c r="G537"/>
    </row>
    <row r="538" spans="3:7">
      <c r="C538"/>
      <c r="D538"/>
      <c r="E538"/>
      <c r="F538" s="6"/>
      <c r="G538"/>
    </row>
    <row r="539" spans="3:7">
      <c r="C539"/>
      <c r="D539"/>
      <c r="E539"/>
      <c r="F539" s="6"/>
      <c r="G539"/>
    </row>
    <row r="540" spans="3:7">
      <c r="C540"/>
      <c r="D540"/>
      <c r="E540"/>
      <c r="F540" s="6"/>
      <c r="G540"/>
    </row>
    <row r="541" spans="3:7">
      <c r="C541"/>
      <c r="D541"/>
      <c r="E541"/>
      <c r="F541" s="6"/>
      <c r="G541"/>
    </row>
    <row r="542" spans="3:7">
      <c r="C542"/>
      <c r="D542"/>
      <c r="E542"/>
      <c r="F542" s="6"/>
      <c r="G542"/>
    </row>
    <row r="543" spans="3:7">
      <c r="C543"/>
      <c r="D543"/>
      <c r="E543"/>
      <c r="F543" s="6"/>
      <c r="G543"/>
    </row>
    <row r="544" spans="3:7">
      <c r="C544"/>
      <c r="D544"/>
      <c r="E544"/>
      <c r="F544" s="6"/>
      <c r="G544"/>
    </row>
    <row r="545" spans="3:7">
      <c r="C545"/>
      <c r="D545"/>
      <c r="E545"/>
      <c r="F545" s="6"/>
      <c r="G545"/>
    </row>
    <row r="546" spans="3:7">
      <c r="C546"/>
      <c r="D546"/>
      <c r="E546"/>
      <c r="F546" s="6"/>
      <c r="G546"/>
    </row>
    <row r="547" spans="3:7">
      <c r="C547"/>
      <c r="D547"/>
      <c r="E547"/>
      <c r="F547" s="6"/>
      <c r="G547"/>
    </row>
    <row r="548" spans="3:7">
      <c r="C548"/>
      <c r="D548"/>
      <c r="E548"/>
      <c r="F548" s="6"/>
      <c r="G548"/>
    </row>
    <row r="549" spans="3:7">
      <c r="C549"/>
      <c r="D549"/>
      <c r="E549"/>
      <c r="F549" s="6"/>
      <c r="G549"/>
    </row>
    <row r="550" spans="3:7">
      <c r="C550"/>
      <c r="D550"/>
      <c r="E550"/>
      <c r="F550" s="6"/>
      <c r="G550"/>
    </row>
    <row r="551" spans="3:7">
      <c r="C551"/>
      <c r="D551"/>
      <c r="E551"/>
      <c r="F551" s="6"/>
      <c r="G551"/>
    </row>
    <row r="552" spans="3:7">
      <c r="C552"/>
      <c r="D552"/>
      <c r="E552"/>
      <c r="F552" s="6"/>
      <c r="G552"/>
    </row>
    <row r="553" spans="3:7">
      <c r="C553"/>
      <c r="D553"/>
      <c r="E553"/>
      <c r="F553" s="6"/>
      <c r="G553"/>
    </row>
    <row r="554" spans="3:7">
      <c r="C554"/>
      <c r="D554"/>
      <c r="E554"/>
      <c r="F554" s="6"/>
      <c r="G554"/>
    </row>
    <row r="555" spans="3:7">
      <c r="C555"/>
      <c r="D555"/>
      <c r="E555"/>
      <c r="F555" s="6"/>
      <c r="G555"/>
    </row>
    <row r="556" spans="3:7">
      <c r="C556"/>
      <c r="D556"/>
      <c r="E556"/>
      <c r="F556" s="6"/>
      <c r="G556"/>
    </row>
    <row r="557" spans="3:7">
      <c r="C557"/>
      <c r="D557"/>
      <c r="E557"/>
      <c r="F557" s="6"/>
      <c r="G557"/>
    </row>
    <row r="558" spans="3:7">
      <c r="C558"/>
      <c r="D558"/>
      <c r="E558"/>
      <c r="F558" s="6"/>
      <c r="G558"/>
    </row>
    <row r="559" spans="3:7">
      <c r="C559"/>
      <c r="D559"/>
      <c r="E559"/>
      <c r="F559" s="6"/>
      <c r="G559"/>
    </row>
    <row r="560" spans="3:7">
      <c r="C560"/>
      <c r="D560"/>
      <c r="E560"/>
      <c r="F560" s="6"/>
      <c r="G560"/>
    </row>
    <row r="561" spans="3:7">
      <c r="C561"/>
      <c r="D561"/>
      <c r="E561"/>
      <c r="F561" s="6"/>
      <c r="G561"/>
    </row>
    <row r="562" spans="3:7">
      <c r="C562"/>
      <c r="D562"/>
      <c r="E562"/>
      <c r="F562" s="6"/>
      <c r="G562"/>
    </row>
    <row r="563" spans="3:7">
      <c r="C563"/>
      <c r="D563"/>
      <c r="E563"/>
      <c r="F563" s="6"/>
      <c r="G563"/>
    </row>
    <row r="564" spans="3:7">
      <c r="C564"/>
      <c r="D564"/>
      <c r="E564"/>
      <c r="F564" s="6"/>
      <c r="G564"/>
    </row>
    <row r="565" spans="3:7">
      <c r="C565"/>
      <c r="D565"/>
      <c r="E565"/>
      <c r="F565" s="6"/>
      <c r="G565"/>
    </row>
    <row r="566" spans="3:7">
      <c r="C566"/>
      <c r="D566"/>
      <c r="E566"/>
      <c r="F566" s="6"/>
      <c r="G566"/>
    </row>
    <row r="567" spans="3:7">
      <c r="C567"/>
      <c r="D567"/>
      <c r="E567"/>
      <c r="F567" s="6"/>
      <c r="G567"/>
    </row>
    <row r="568" spans="3:7">
      <c r="C568"/>
      <c r="D568"/>
      <c r="E568"/>
      <c r="F568" s="6"/>
      <c r="G568"/>
    </row>
    <row r="569" spans="3:7">
      <c r="C569"/>
      <c r="D569"/>
      <c r="E569"/>
      <c r="F569" s="6"/>
      <c r="G569"/>
    </row>
    <row r="570" spans="3:7">
      <c r="C570"/>
      <c r="D570"/>
      <c r="E570"/>
      <c r="F570" s="6"/>
      <c r="G570"/>
    </row>
    <row r="571" spans="3:7">
      <c r="C571"/>
      <c r="D571"/>
      <c r="E571"/>
      <c r="F571" s="6"/>
      <c r="G571"/>
    </row>
    <row r="572" spans="3:7">
      <c r="C572"/>
      <c r="D572"/>
      <c r="E572"/>
      <c r="F572" s="6"/>
      <c r="G572"/>
    </row>
    <row r="573" spans="3:7">
      <c r="C573"/>
      <c r="D573"/>
      <c r="E573"/>
      <c r="F573" s="6"/>
      <c r="G573"/>
    </row>
    <row r="574" spans="3:7">
      <c r="C574"/>
      <c r="D574"/>
      <c r="E574"/>
      <c r="F574" s="6"/>
      <c r="G574"/>
    </row>
    <row r="575" spans="3:7">
      <c r="C575"/>
      <c r="D575"/>
      <c r="E575"/>
      <c r="F575" s="6"/>
      <c r="G575"/>
    </row>
    <row r="576" spans="3:7">
      <c r="C576"/>
      <c r="D576"/>
      <c r="E576"/>
      <c r="F576" s="6"/>
      <c r="G576"/>
    </row>
    <row r="577" spans="3:7">
      <c r="C577"/>
      <c r="D577"/>
      <c r="E577"/>
      <c r="F577" s="6"/>
      <c r="G577"/>
    </row>
    <row r="578" spans="3:7">
      <c r="C578"/>
      <c r="D578"/>
      <c r="E578"/>
      <c r="F578" s="6"/>
      <c r="G578"/>
    </row>
    <row r="579" spans="3:7">
      <c r="C579"/>
      <c r="D579"/>
      <c r="E579"/>
      <c r="F579" s="6"/>
      <c r="G579"/>
    </row>
    <row r="580" spans="3:7">
      <c r="C580"/>
      <c r="D580"/>
      <c r="E580"/>
      <c r="F580" s="6"/>
      <c r="G580"/>
    </row>
    <row r="581" spans="3:7">
      <c r="C581"/>
      <c r="D581"/>
      <c r="E581"/>
      <c r="F581" s="6"/>
      <c r="G581"/>
    </row>
    <row r="582" spans="3:7">
      <c r="C582"/>
      <c r="D582"/>
      <c r="E582"/>
      <c r="F582" s="6"/>
      <c r="G582"/>
    </row>
    <row r="583" spans="3:7">
      <c r="C583"/>
      <c r="D583"/>
      <c r="E583"/>
      <c r="F583" s="6"/>
      <c r="G583"/>
    </row>
    <row r="584" spans="3:7">
      <c r="C584"/>
      <c r="D584"/>
      <c r="E584"/>
      <c r="F584" s="6"/>
      <c r="G584"/>
    </row>
    <row r="585" spans="3:7">
      <c r="C585"/>
      <c r="D585"/>
      <c r="E585"/>
      <c r="F585" s="6"/>
      <c r="G585"/>
    </row>
    <row r="586" spans="3:7">
      <c r="C586"/>
      <c r="D586"/>
      <c r="E586"/>
      <c r="F586" s="6"/>
      <c r="G586"/>
    </row>
    <row r="587" spans="3:7">
      <c r="C587"/>
      <c r="D587"/>
      <c r="E587"/>
      <c r="F587" s="6"/>
      <c r="G587"/>
    </row>
    <row r="588" spans="3:7">
      <c r="C588"/>
      <c r="D588"/>
      <c r="E588"/>
      <c r="F588" s="6"/>
      <c r="G588"/>
    </row>
    <row r="589" spans="3:7">
      <c r="C589"/>
      <c r="D589"/>
      <c r="E589"/>
      <c r="F589" s="6"/>
      <c r="G589"/>
    </row>
    <row r="590" spans="3:7">
      <c r="C590"/>
      <c r="D590"/>
      <c r="E590"/>
      <c r="F590" s="6"/>
      <c r="G590"/>
    </row>
    <row r="591" spans="3:7">
      <c r="C591"/>
      <c r="D591"/>
      <c r="E591"/>
      <c r="F591" s="6"/>
      <c r="G591"/>
    </row>
    <row r="592" spans="3:7">
      <c r="C592"/>
      <c r="D592"/>
      <c r="E592"/>
      <c r="F592" s="6"/>
      <c r="G592"/>
    </row>
    <row r="593" spans="3:7">
      <c r="C593"/>
      <c r="D593"/>
      <c r="E593"/>
      <c r="F593" s="6"/>
      <c r="G593"/>
    </row>
    <row r="594" spans="3:7">
      <c r="C594"/>
      <c r="D594"/>
      <c r="E594"/>
      <c r="F594" s="6"/>
      <c r="G594"/>
    </row>
    <row r="595" spans="3:7">
      <c r="C595"/>
      <c r="D595"/>
      <c r="E595"/>
      <c r="F595" s="6"/>
      <c r="G595"/>
    </row>
    <row r="596" spans="3:7">
      <c r="C596"/>
      <c r="D596"/>
      <c r="E596"/>
      <c r="F596" s="6"/>
      <c r="G596"/>
    </row>
    <row r="597" spans="3:7">
      <c r="C597"/>
      <c r="D597"/>
      <c r="E597"/>
      <c r="F597" s="6"/>
      <c r="G597"/>
    </row>
    <row r="598" spans="3:7">
      <c r="C598"/>
      <c r="D598"/>
      <c r="E598"/>
      <c r="F598" s="6"/>
      <c r="G598"/>
    </row>
    <row r="599" spans="3:7">
      <c r="C599"/>
      <c r="D599"/>
      <c r="E599"/>
      <c r="F599" s="6"/>
      <c r="G599"/>
    </row>
    <row r="600" spans="3:7">
      <c r="C600"/>
      <c r="D600"/>
      <c r="E600"/>
      <c r="F600" s="6"/>
      <c r="G600"/>
    </row>
    <row r="601" spans="3:7">
      <c r="C601"/>
      <c r="D601"/>
      <c r="E601"/>
      <c r="F601" s="6"/>
      <c r="G601"/>
    </row>
    <row r="602" spans="3:7">
      <c r="C602"/>
      <c r="D602"/>
      <c r="E602"/>
      <c r="F602" s="6"/>
      <c r="G602"/>
    </row>
    <row r="603" spans="3:7">
      <c r="C603"/>
      <c r="D603"/>
      <c r="E603"/>
      <c r="F603" s="6"/>
      <c r="G603"/>
    </row>
    <row r="604" spans="3:7">
      <c r="C604"/>
      <c r="D604"/>
      <c r="E604"/>
      <c r="F604" s="6"/>
      <c r="G604"/>
    </row>
    <row r="605" spans="3:7">
      <c r="C605"/>
      <c r="D605"/>
      <c r="E605"/>
      <c r="F605" s="6"/>
      <c r="G605"/>
    </row>
    <row r="606" spans="3:7">
      <c r="C606"/>
      <c r="D606"/>
      <c r="E606"/>
      <c r="F606" s="6"/>
      <c r="G606"/>
    </row>
    <row r="607" spans="3:7">
      <c r="C607"/>
      <c r="D607"/>
      <c r="E607"/>
      <c r="F607" s="6"/>
      <c r="G607"/>
    </row>
    <row r="608" spans="3:7">
      <c r="C608"/>
      <c r="D608"/>
      <c r="E608"/>
      <c r="F608" s="6"/>
      <c r="G608"/>
    </row>
    <row r="609" spans="3:7">
      <c r="C609"/>
      <c r="D609"/>
      <c r="E609"/>
      <c r="F609" s="6"/>
      <c r="G609"/>
    </row>
    <row r="610" spans="3:7">
      <c r="C610"/>
      <c r="D610"/>
      <c r="E610"/>
      <c r="F610" s="6"/>
      <c r="G610"/>
    </row>
    <row r="611" spans="3:7">
      <c r="C611"/>
      <c r="D611"/>
      <c r="E611"/>
      <c r="F611" s="6"/>
      <c r="G611"/>
    </row>
    <row r="612" spans="3:7">
      <c r="C612"/>
      <c r="D612"/>
      <c r="E612"/>
      <c r="F612" s="6"/>
      <c r="G612"/>
    </row>
    <row r="613" spans="3:7">
      <c r="C613"/>
      <c r="D613"/>
      <c r="E613"/>
      <c r="F613" s="6"/>
      <c r="G613"/>
    </row>
    <row r="614" spans="3:7">
      <c r="C614"/>
      <c r="D614"/>
      <c r="E614"/>
      <c r="F614" s="6"/>
      <c r="G614"/>
    </row>
    <row r="615" spans="3:7">
      <c r="C615"/>
      <c r="D615"/>
      <c r="E615"/>
      <c r="F615" s="6"/>
      <c r="G615"/>
    </row>
    <row r="616" spans="3:7">
      <c r="C616"/>
      <c r="D616"/>
      <c r="E616"/>
      <c r="F616" s="6"/>
      <c r="G616"/>
    </row>
    <row r="617" spans="3:7">
      <c r="C617"/>
      <c r="D617"/>
      <c r="E617"/>
      <c r="F617" s="6"/>
      <c r="G617"/>
    </row>
    <row r="618" spans="3:7">
      <c r="C618"/>
      <c r="D618"/>
      <c r="E618"/>
      <c r="F618" s="6"/>
      <c r="G618"/>
    </row>
    <row r="619" spans="3:7">
      <c r="C619"/>
      <c r="D619"/>
      <c r="E619"/>
      <c r="F619" s="6"/>
      <c r="G619"/>
    </row>
    <row r="620" spans="3:7">
      <c r="C620"/>
      <c r="D620"/>
      <c r="E620"/>
      <c r="F620" s="6"/>
      <c r="G620"/>
    </row>
    <row r="621" spans="3:7">
      <c r="C621"/>
      <c r="D621"/>
      <c r="E621"/>
      <c r="F621" s="6"/>
      <c r="G621"/>
    </row>
    <row r="622" spans="3:7">
      <c r="C622"/>
      <c r="D622"/>
      <c r="E622"/>
      <c r="F622" s="6"/>
      <c r="G622"/>
    </row>
    <row r="623" spans="3:7">
      <c r="C623"/>
      <c r="D623"/>
      <c r="E623"/>
      <c r="F623" s="6"/>
      <c r="G623"/>
    </row>
    <row r="624" spans="3:7">
      <c r="C624"/>
      <c r="D624"/>
      <c r="E624"/>
      <c r="F624" s="6"/>
      <c r="G624"/>
    </row>
    <row r="625" spans="3:7">
      <c r="C625"/>
      <c r="D625"/>
      <c r="E625"/>
      <c r="F625" s="6"/>
      <c r="G625"/>
    </row>
    <row r="626" spans="3:7">
      <c r="C626"/>
      <c r="D626"/>
      <c r="E626"/>
      <c r="F626" s="6"/>
      <c r="G626"/>
    </row>
    <row r="627" spans="3:7">
      <c r="C627"/>
      <c r="D627"/>
      <c r="E627"/>
      <c r="F627" s="6"/>
      <c r="G627"/>
    </row>
    <row r="628" spans="3:7">
      <c r="C628"/>
      <c r="D628"/>
      <c r="E628"/>
      <c r="F628" s="6"/>
      <c r="G628"/>
    </row>
    <row r="629" spans="3:7">
      <c r="C629"/>
      <c r="D629"/>
      <c r="E629"/>
      <c r="F629" s="6"/>
      <c r="G629"/>
    </row>
    <row r="630" spans="3:7">
      <c r="C630"/>
      <c r="D630"/>
      <c r="E630"/>
      <c r="F630" s="6"/>
      <c r="G630"/>
    </row>
    <row r="631" spans="3:7">
      <c r="C631"/>
      <c r="D631"/>
      <c r="E631"/>
      <c r="F631" s="6"/>
      <c r="G631"/>
    </row>
    <row r="632" spans="3:7">
      <c r="C632"/>
      <c r="D632"/>
      <c r="E632"/>
      <c r="F632" s="6"/>
      <c r="G632"/>
    </row>
    <row r="633" spans="3:7">
      <c r="C633"/>
      <c r="D633"/>
      <c r="E633"/>
      <c r="F633" s="6"/>
      <c r="G633"/>
    </row>
    <row r="634" spans="3:7">
      <c r="C634"/>
      <c r="D634"/>
      <c r="E634"/>
      <c r="F634" s="6"/>
      <c r="G634"/>
    </row>
    <row r="635" spans="3:7">
      <c r="C635"/>
      <c r="D635"/>
      <c r="E635"/>
      <c r="F635" s="6"/>
      <c r="G635"/>
    </row>
    <row r="636" spans="3:7">
      <c r="C636"/>
      <c r="D636"/>
      <c r="E636"/>
      <c r="F636" s="6"/>
      <c r="G636"/>
    </row>
    <row r="637" spans="3:7">
      <c r="C637"/>
      <c r="D637"/>
      <c r="E637"/>
      <c r="F637" s="6"/>
      <c r="G637"/>
    </row>
    <row r="638" spans="3:7">
      <c r="C638"/>
      <c r="D638"/>
      <c r="E638"/>
      <c r="F638" s="6"/>
      <c r="G638"/>
    </row>
    <row r="639" spans="3:7">
      <c r="C639"/>
      <c r="D639"/>
      <c r="E639"/>
      <c r="F639" s="6"/>
      <c r="G639"/>
    </row>
    <row r="640" spans="3:7">
      <c r="C640"/>
      <c r="D640"/>
      <c r="E640"/>
      <c r="F640" s="6"/>
      <c r="G640"/>
    </row>
    <row r="641" spans="3:7">
      <c r="C641"/>
      <c r="D641"/>
      <c r="E641"/>
      <c r="F641" s="6"/>
      <c r="G641"/>
    </row>
    <row r="642" spans="3:7">
      <c r="C642"/>
      <c r="D642"/>
      <c r="E642"/>
      <c r="F642" s="6"/>
      <c r="G642"/>
    </row>
    <row r="643" spans="3:7">
      <c r="C643"/>
      <c r="D643"/>
      <c r="E643"/>
      <c r="F643" s="6"/>
      <c r="G643"/>
    </row>
    <row r="644" spans="3:7">
      <c r="C644"/>
      <c r="D644"/>
      <c r="E644"/>
      <c r="F644" s="6"/>
      <c r="G644"/>
    </row>
    <row r="645" spans="3:7">
      <c r="C645"/>
      <c r="D645"/>
      <c r="E645"/>
      <c r="F645" s="6"/>
      <c r="G645"/>
    </row>
    <row r="646" spans="3:7">
      <c r="C646"/>
      <c r="D646"/>
      <c r="E646"/>
      <c r="F646" s="6"/>
      <c r="G646"/>
    </row>
    <row r="647" spans="3:7">
      <c r="C647"/>
      <c r="D647"/>
      <c r="E647"/>
      <c r="F647" s="6"/>
      <c r="G647"/>
    </row>
    <row r="648" spans="3:7">
      <c r="C648"/>
      <c r="D648"/>
      <c r="E648"/>
      <c r="F648" s="6"/>
      <c r="G648"/>
    </row>
    <row r="649" spans="3:7">
      <c r="C649"/>
      <c r="D649"/>
      <c r="E649"/>
      <c r="F649" s="6"/>
      <c r="G649"/>
    </row>
    <row r="650" spans="3:7">
      <c r="C650"/>
      <c r="D650"/>
      <c r="E650"/>
      <c r="F650" s="6"/>
      <c r="G650"/>
    </row>
    <row r="651" spans="3:7">
      <c r="C651"/>
      <c r="D651"/>
      <c r="E651"/>
      <c r="F651" s="6"/>
      <c r="G651"/>
    </row>
    <row r="652" spans="3:7">
      <c r="C652"/>
      <c r="D652"/>
      <c r="E652"/>
      <c r="F652" s="6"/>
      <c r="G652"/>
    </row>
    <row r="653" spans="3:7">
      <c r="C653"/>
      <c r="D653"/>
      <c r="E653"/>
      <c r="F653" s="6"/>
      <c r="G653"/>
    </row>
    <row r="654" spans="3:7">
      <c r="C654"/>
      <c r="D654"/>
      <c r="E654"/>
      <c r="F654" s="6"/>
      <c r="G654"/>
    </row>
    <row r="655" spans="3:7">
      <c r="C655"/>
      <c r="D655"/>
      <c r="E655"/>
      <c r="F655" s="6"/>
      <c r="G655"/>
    </row>
    <row r="656" spans="3:7">
      <c r="C656"/>
      <c r="D656"/>
      <c r="E656"/>
      <c r="F656" s="6"/>
      <c r="G656"/>
    </row>
    <row r="657" spans="3:7">
      <c r="C657"/>
      <c r="D657"/>
      <c r="E657"/>
      <c r="F657" s="6"/>
      <c r="G657"/>
    </row>
    <row r="658" spans="3:7">
      <c r="C658"/>
      <c r="D658"/>
      <c r="E658"/>
      <c r="F658" s="6"/>
      <c r="G658"/>
    </row>
    <row r="659" spans="3:7">
      <c r="C659"/>
      <c r="D659"/>
      <c r="E659"/>
      <c r="F659" s="6"/>
      <c r="G659"/>
    </row>
    <row r="660" spans="3:7">
      <c r="C660"/>
      <c r="D660"/>
      <c r="E660"/>
      <c r="F660" s="6"/>
      <c r="G660"/>
    </row>
    <row r="661" spans="3:7">
      <c r="C661"/>
      <c r="D661"/>
      <c r="E661"/>
      <c r="F661" s="6"/>
      <c r="G661"/>
    </row>
    <row r="662" spans="3:7">
      <c r="C662"/>
      <c r="D662"/>
      <c r="E662"/>
      <c r="F662" s="6"/>
      <c r="G662"/>
    </row>
    <row r="663" spans="3:7">
      <c r="C663"/>
      <c r="D663"/>
      <c r="E663"/>
      <c r="F663" s="6"/>
      <c r="G663"/>
    </row>
    <row r="664" spans="3:7">
      <c r="C664"/>
      <c r="D664"/>
      <c r="E664"/>
      <c r="F664" s="6"/>
      <c r="G664"/>
    </row>
    <row r="665" spans="3:7">
      <c r="C665"/>
      <c r="D665"/>
      <c r="E665"/>
      <c r="F665" s="6"/>
      <c r="G665"/>
    </row>
    <row r="666" spans="3:7">
      <c r="C666"/>
      <c r="D666"/>
      <c r="E666"/>
      <c r="F666" s="6"/>
      <c r="G666"/>
    </row>
    <row r="667" spans="3:7">
      <c r="C667"/>
      <c r="D667"/>
      <c r="E667"/>
      <c r="F667" s="6"/>
      <c r="G667"/>
    </row>
    <row r="668" spans="3:7">
      <c r="C668"/>
      <c r="D668"/>
      <c r="E668"/>
      <c r="F668" s="6"/>
      <c r="G668"/>
    </row>
    <row r="669" spans="3:7">
      <c r="C669"/>
      <c r="D669"/>
      <c r="E669"/>
      <c r="F669" s="6"/>
      <c r="G669"/>
    </row>
    <row r="670" spans="3:7">
      <c r="C670"/>
      <c r="D670"/>
      <c r="E670"/>
      <c r="F670" s="6"/>
      <c r="G670"/>
    </row>
    <row r="671" spans="3:7">
      <c r="C671"/>
      <c r="D671"/>
      <c r="E671"/>
      <c r="F671" s="6"/>
      <c r="G671"/>
    </row>
    <row r="672" spans="3:7">
      <c r="C672"/>
      <c r="D672"/>
      <c r="E672"/>
      <c r="F672" s="6"/>
      <c r="G672"/>
    </row>
    <row r="673" spans="3:7">
      <c r="C673"/>
      <c r="D673"/>
      <c r="E673"/>
      <c r="F673" s="6"/>
      <c r="G673"/>
    </row>
    <row r="674" spans="3:7">
      <c r="C674"/>
      <c r="D674"/>
      <c r="E674"/>
      <c r="F674" s="6"/>
      <c r="G674"/>
    </row>
    <row r="675" spans="3:7">
      <c r="C675"/>
      <c r="D675"/>
      <c r="E675"/>
      <c r="F675" s="6"/>
      <c r="G675"/>
    </row>
    <row r="676" spans="3:7">
      <c r="C676"/>
      <c r="D676"/>
      <c r="E676"/>
      <c r="F676" s="6"/>
      <c r="G676"/>
    </row>
    <row r="677" spans="3:7">
      <c r="C677"/>
      <c r="D677"/>
      <c r="E677"/>
      <c r="F677" s="6"/>
      <c r="G677"/>
    </row>
    <row r="678" spans="3:7">
      <c r="C678"/>
      <c r="D678"/>
      <c r="E678"/>
      <c r="F678" s="6"/>
      <c r="G678"/>
    </row>
    <row r="679" spans="3:7">
      <c r="C679"/>
      <c r="D679"/>
      <c r="E679"/>
      <c r="F679" s="6"/>
      <c r="G679"/>
    </row>
    <row r="680" spans="3:7">
      <c r="C680"/>
      <c r="D680"/>
      <c r="E680"/>
      <c r="F680" s="6"/>
      <c r="G680"/>
    </row>
    <row r="681" spans="3:7">
      <c r="C681"/>
      <c r="D681"/>
      <c r="E681"/>
      <c r="F681" s="6"/>
      <c r="G681"/>
    </row>
    <row r="682" spans="3:7">
      <c r="C682"/>
      <c r="D682"/>
      <c r="E682"/>
      <c r="F682" s="6"/>
      <c r="G682"/>
    </row>
    <row r="683" spans="3:7">
      <c r="C683"/>
      <c r="D683"/>
      <c r="E683"/>
      <c r="F683" s="6"/>
      <c r="G683"/>
    </row>
    <row r="684" spans="3:7">
      <c r="C684"/>
      <c r="D684"/>
      <c r="E684"/>
      <c r="F684" s="6"/>
      <c r="G684"/>
    </row>
    <row r="685" spans="3:7">
      <c r="C685"/>
      <c r="D685"/>
      <c r="E685"/>
      <c r="F685" s="6"/>
      <c r="G685"/>
    </row>
    <row r="686" spans="3:7">
      <c r="C686"/>
      <c r="D686"/>
      <c r="E686"/>
      <c r="F686" s="6"/>
      <c r="G686"/>
    </row>
    <row r="687" spans="3:7">
      <c r="C687"/>
      <c r="D687"/>
      <c r="E687"/>
      <c r="F687" s="6"/>
      <c r="G687"/>
    </row>
    <row r="688" spans="3:7">
      <c r="C688"/>
      <c r="D688"/>
      <c r="E688"/>
      <c r="F688" s="6"/>
      <c r="G688"/>
    </row>
    <row r="689" spans="3:7">
      <c r="C689"/>
      <c r="D689"/>
      <c r="E689"/>
      <c r="F689" s="6"/>
      <c r="G689"/>
    </row>
    <row r="690" spans="3:7">
      <c r="C690"/>
      <c r="D690"/>
      <c r="E690"/>
      <c r="F690" s="6"/>
      <c r="G690"/>
    </row>
    <row r="691" spans="3:7">
      <c r="C691"/>
      <c r="D691"/>
      <c r="E691"/>
      <c r="F691" s="6"/>
      <c r="G691"/>
    </row>
    <row r="692" spans="3:7">
      <c r="C692"/>
      <c r="D692"/>
      <c r="E692"/>
      <c r="F692" s="6"/>
      <c r="G692"/>
    </row>
    <row r="693" spans="3:7">
      <c r="C693"/>
      <c r="D693"/>
      <c r="E693"/>
      <c r="F693" s="6"/>
      <c r="G693"/>
    </row>
    <row r="694" spans="3:7">
      <c r="C694"/>
      <c r="D694"/>
      <c r="E694"/>
      <c r="F694" s="6"/>
      <c r="G694"/>
    </row>
    <row r="695" spans="3:7">
      <c r="C695"/>
      <c r="D695"/>
      <c r="E695"/>
      <c r="F695" s="6"/>
      <c r="G695"/>
    </row>
    <row r="696" spans="3:7">
      <c r="C696"/>
      <c r="D696"/>
      <c r="E696"/>
      <c r="F696" s="6"/>
      <c r="G696"/>
    </row>
    <row r="697" spans="3:7">
      <c r="C697"/>
      <c r="D697"/>
      <c r="E697"/>
      <c r="F697" s="6"/>
      <c r="G697"/>
    </row>
    <row r="698" spans="3:7">
      <c r="C698"/>
      <c r="D698"/>
      <c r="E698"/>
      <c r="F698" s="6"/>
      <c r="G698"/>
    </row>
    <row r="699" spans="3:7">
      <c r="C699"/>
      <c r="D699"/>
      <c r="E699"/>
      <c r="F699" s="6"/>
      <c r="G699"/>
    </row>
    <row r="700" spans="3:7">
      <c r="C700"/>
      <c r="D700"/>
      <c r="E700"/>
      <c r="F700" s="6"/>
      <c r="G700"/>
    </row>
    <row r="701" spans="3:7">
      <c r="C701"/>
      <c r="D701"/>
      <c r="E701"/>
      <c r="F701" s="6"/>
      <c r="G701"/>
    </row>
    <row r="702" spans="3:7">
      <c r="C702"/>
      <c r="D702"/>
      <c r="E702"/>
      <c r="F702" s="6"/>
      <c r="G702"/>
    </row>
    <row r="703" spans="3:7">
      <c r="C703"/>
      <c r="D703"/>
      <c r="E703"/>
      <c r="F703" s="6"/>
      <c r="G703"/>
    </row>
    <row r="704" spans="3:7">
      <c r="C704"/>
      <c r="D704"/>
      <c r="E704"/>
      <c r="F704" s="6"/>
      <c r="G704"/>
    </row>
    <row r="705" spans="3:7">
      <c r="C705"/>
      <c r="D705"/>
      <c r="E705"/>
      <c r="F705" s="6"/>
      <c r="G705"/>
    </row>
    <row r="706" spans="3:7">
      <c r="C706"/>
      <c r="D706"/>
      <c r="E706"/>
      <c r="F706" s="6"/>
      <c r="G706"/>
    </row>
    <row r="707" spans="3:7">
      <c r="C707"/>
      <c r="D707"/>
      <c r="E707"/>
      <c r="F707" s="6"/>
      <c r="G707"/>
    </row>
    <row r="708" spans="3:7">
      <c r="C708"/>
      <c r="D708"/>
      <c r="E708"/>
      <c r="F708" s="6"/>
      <c r="G708"/>
    </row>
    <row r="709" spans="3:7">
      <c r="C709"/>
      <c r="D709"/>
      <c r="E709"/>
      <c r="F709" s="6"/>
      <c r="G709"/>
    </row>
    <row r="710" spans="3:7">
      <c r="C710"/>
      <c r="D710"/>
      <c r="E710"/>
      <c r="F710" s="6"/>
      <c r="G710"/>
    </row>
    <row r="711" spans="3:7">
      <c r="C711"/>
      <c r="D711"/>
      <c r="E711"/>
      <c r="F711" s="6"/>
      <c r="G711"/>
    </row>
    <row r="712" spans="3:7">
      <c r="C712"/>
      <c r="D712"/>
      <c r="E712"/>
      <c r="F712" s="6"/>
      <c r="G712"/>
    </row>
    <row r="713" spans="3:7">
      <c r="C713"/>
      <c r="D713"/>
      <c r="E713"/>
      <c r="F713" s="6"/>
      <c r="G713"/>
    </row>
    <row r="714" spans="3:7">
      <c r="C714"/>
      <c r="D714"/>
      <c r="E714"/>
      <c r="F714" s="6"/>
      <c r="G714"/>
    </row>
    <row r="715" spans="3:7">
      <c r="C715"/>
      <c r="D715"/>
      <c r="E715"/>
      <c r="F715" s="6"/>
      <c r="G715"/>
    </row>
    <row r="716" spans="3:7">
      <c r="C716"/>
      <c r="D716"/>
      <c r="E716"/>
      <c r="F716" s="6"/>
      <c r="G716"/>
    </row>
    <row r="717" spans="3:7">
      <c r="C717"/>
      <c r="D717"/>
      <c r="E717"/>
      <c r="F717" s="6"/>
      <c r="G717"/>
    </row>
    <row r="718" spans="3:7">
      <c r="C718"/>
      <c r="D718"/>
      <c r="E718"/>
      <c r="F718" s="6"/>
      <c r="G718"/>
    </row>
    <row r="719" spans="3:7">
      <c r="C719"/>
      <c r="D719"/>
      <c r="E719"/>
      <c r="F719" s="6"/>
      <c r="G719"/>
    </row>
    <row r="720" spans="3:7">
      <c r="C720"/>
      <c r="D720"/>
      <c r="E720"/>
      <c r="F720" s="6"/>
      <c r="G720"/>
    </row>
    <row r="721" spans="3:7">
      <c r="C721"/>
      <c r="D721"/>
      <c r="E721"/>
      <c r="F721" s="6"/>
      <c r="G721"/>
    </row>
    <row r="722" spans="3:7">
      <c r="C722"/>
      <c r="D722"/>
      <c r="E722"/>
      <c r="F722" s="6"/>
      <c r="G722"/>
    </row>
    <row r="723" spans="3:7">
      <c r="C723"/>
      <c r="D723"/>
      <c r="E723"/>
      <c r="F723" s="6"/>
      <c r="G723"/>
    </row>
    <row r="724" spans="3:7">
      <c r="C724"/>
      <c r="D724"/>
      <c r="E724"/>
      <c r="F724" s="6"/>
      <c r="G724"/>
    </row>
    <row r="725" spans="3:7">
      <c r="C725"/>
      <c r="D725"/>
      <c r="E725"/>
      <c r="F725" s="6"/>
      <c r="G725"/>
    </row>
    <row r="726" spans="3:7">
      <c r="C726"/>
      <c r="D726"/>
      <c r="E726"/>
      <c r="F726" s="6"/>
      <c r="G726"/>
    </row>
    <row r="727" spans="3:7">
      <c r="C727"/>
      <c r="D727"/>
      <c r="E727"/>
      <c r="F727" s="6"/>
      <c r="G727"/>
    </row>
    <row r="728" spans="3:7">
      <c r="C728"/>
      <c r="D728"/>
      <c r="E728"/>
      <c r="F728" s="6"/>
      <c r="G728"/>
    </row>
    <row r="729" spans="3:7">
      <c r="C729"/>
      <c r="D729"/>
      <c r="E729"/>
      <c r="F729" s="6"/>
      <c r="G729"/>
    </row>
    <row r="730" spans="3:7">
      <c r="C730"/>
      <c r="D730"/>
      <c r="E730"/>
      <c r="F730" s="6"/>
      <c r="G730"/>
    </row>
    <row r="731" spans="3:7">
      <c r="C731"/>
      <c r="D731"/>
      <c r="E731"/>
      <c r="F731" s="6"/>
      <c r="G731"/>
    </row>
    <row r="732" spans="3:7">
      <c r="C732"/>
      <c r="D732"/>
      <c r="E732"/>
      <c r="F732" s="6"/>
      <c r="G732"/>
    </row>
    <row r="733" spans="3:7">
      <c r="C733"/>
      <c r="D733"/>
      <c r="E733"/>
      <c r="F733" s="6"/>
      <c r="G733"/>
    </row>
    <row r="734" spans="3:7">
      <c r="C734"/>
      <c r="D734"/>
      <c r="E734"/>
      <c r="F734" s="6"/>
      <c r="G734"/>
    </row>
    <row r="735" spans="3:7">
      <c r="C735"/>
      <c r="D735"/>
      <c r="E735"/>
      <c r="F735" s="6"/>
      <c r="G735"/>
    </row>
    <row r="736" spans="3:7">
      <c r="C736"/>
      <c r="D736"/>
      <c r="E736"/>
      <c r="F736" s="6"/>
      <c r="G736"/>
    </row>
    <row r="737" spans="3:7">
      <c r="C737"/>
      <c r="D737"/>
      <c r="E737"/>
      <c r="F737" s="6"/>
      <c r="G737"/>
    </row>
    <row r="738" spans="3:7">
      <c r="C738"/>
      <c r="D738"/>
      <c r="E738"/>
      <c r="F738" s="6"/>
      <c r="G738"/>
    </row>
    <row r="739" spans="3:7">
      <c r="C739"/>
      <c r="D739"/>
      <c r="E739"/>
      <c r="F739" s="6"/>
      <c r="G739"/>
    </row>
    <row r="740" spans="3:7">
      <c r="C740"/>
      <c r="D740"/>
      <c r="E740"/>
      <c r="F740" s="6"/>
      <c r="G740"/>
    </row>
    <row r="741" spans="3:7">
      <c r="C741"/>
      <c r="D741"/>
      <c r="E741"/>
      <c r="F741" s="6"/>
      <c r="G741"/>
    </row>
    <row r="742" spans="3:7">
      <c r="C742"/>
      <c r="D742"/>
      <c r="E742"/>
      <c r="F742" s="6"/>
      <c r="G742"/>
    </row>
    <row r="743" spans="3:7">
      <c r="C743"/>
      <c r="D743"/>
      <c r="E743"/>
      <c r="F743" s="6"/>
      <c r="G743"/>
    </row>
    <row r="744" spans="3:7">
      <c r="C744"/>
      <c r="D744"/>
      <c r="E744"/>
      <c r="F744" s="6"/>
      <c r="G744"/>
    </row>
    <row r="745" spans="3:7">
      <c r="C745"/>
      <c r="D745"/>
      <c r="E745"/>
      <c r="F745" s="6"/>
      <c r="G745"/>
    </row>
    <row r="746" spans="3:7">
      <c r="C746"/>
      <c r="D746"/>
      <c r="E746"/>
      <c r="F746" s="6"/>
      <c r="G746"/>
    </row>
    <row r="747" spans="3:7">
      <c r="C747"/>
      <c r="D747"/>
      <c r="E747"/>
      <c r="F747" s="6"/>
      <c r="G747"/>
    </row>
    <row r="748" spans="3:7">
      <c r="C748"/>
      <c r="D748"/>
      <c r="E748"/>
      <c r="F748" s="6"/>
      <c r="G748"/>
    </row>
    <row r="749" spans="3:7">
      <c r="C749"/>
      <c r="D749"/>
      <c r="E749"/>
      <c r="F749" s="6"/>
      <c r="G749"/>
    </row>
    <row r="750" spans="3:7">
      <c r="C750"/>
      <c r="D750"/>
      <c r="E750"/>
      <c r="F750" s="6"/>
      <c r="G750"/>
    </row>
    <row r="751" spans="3:7">
      <c r="C751"/>
      <c r="D751"/>
      <c r="E751"/>
      <c r="F751" s="6"/>
      <c r="G751"/>
    </row>
    <row r="752" spans="3:7">
      <c r="C752"/>
      <c r="D752"/>
      <c r="E752"/>
      <c r="F752" s="6"/>
      <c r="G752"/>
    </row>
    <row r="753" spans="3:7">
      <c r="C753"/>
      <c r="D753"/>
      <c r="E753"/>
      <c r="F753" s="6"/>
      <c r="G753"/>
    </row>
    <row r="754" spans="3:7">
      <c r="C754"/>
      <c r="D754"/>
      <c r="E754"/>
      <c r="F754" s="6"/>
      <c r="G754"/>
    </row>
    <row r="755" spans="3:7">
      <c r="C755"/>
      <c r="D755"/>
      <c r="E755"/>
      <c r="F755" s="6"/>
      <c r="G755"/>
    </row>
    <row r="756" spans="3:7">
      <c r="C756"/>
      <c r="D756"/>
      <c r="E756"/>
      <c r="F756" s="6"/>
      <c r="G756"/>
    </row>
    <row r="757" spans="3:7">
      <c r="C757"/>
      <c r="D757"/>
      <c r="E757"/>
      <c r="F757" s="6"/>
      <c r="G757"/>
    </row>
    <row r="758" spans="3:7">
      <c r="C758"/>
      <c r="D758"/>
      <c r="E758"/>
      <c r="F758" s="6"/>
      <c r="G758"/>
    </row>
    <row r="759" spans="3:7">
      <c r="C759"/>
      <c r="D759"/>
      <c r="E759"/>
      <c r="F759" s="6"/>
      <c r="G759"/>
    </row>
    <row r="760" spans="3:7">
      <c r="C760"/>
      <c r="D760"/>
      <c r="E760"/>
      <c r="F760" s="6"/>
      <c r="G760"/>
    </row>
    <row r="761" spans="3:7">
      <c r="C761"/>
      <c r="D761"/>
      <c r="E761"/>
      <c r="F761" s="6"/>
      <c r="G761"/>
    </row>
    <row r="762" spans="3:7">
      <c r="C762"/>
      <c r="D762"/>
      <c r="E762"/>
      <c r="F762" s="6"/>
      <c r="G762"/>
    </row>
    <row r="763" spans="3:7">
      <c r="C763"/>
      <c r="D763"/>
      <c r="E763"/>
      <c r="F763" s="6"/>
      <c r="G763"/>
    </row>
    <row r="764" spans="3:7">
      <c r="C764"/>
      <c r="D764"/>
      <c r="E764"/>
      <c r="F764" s="6"/>
      <c r="G764"/>
    </row>
    <row r="765" spans="3:7">
      <c r="C765"/>
      <c r="D765"/>
      <c r="E765"/>
      <c r="F765" s="6"/>
      <c r="G765"/>
    </row>
    <row r="766" spans="3:7">
      <c r="C766"/>
      <c r="D766"/>
      <c r="E766"/>
      <c r="F766" s="6"/>
      <c r="G766"/>
    </row>
    <row r="767" spans="3:7">
      <c r="C767"/>
      <c r="D767"/>
      <c r="E767"/>
      <c r="F767" s="6"/>
      <c r="G767"/>
    </row>
    <row r="768" spans="3:7">
      <c r="C768"/>
      <c r="D768"/>
      <c r="E768"/>
      <c r="F768" s="6"/>
      <c r="G768"/>
    </row>
    <row r="769" spans="3:7">
      <c r="C769"/>
      <c r="D769"/>
      <c r="E769"/>
      <c r="F769" s="6"/>
      <c r="G769"/>
    </row>
    <row r="770" spans="3:7">
      <c r="C770"/>
      <c r="D770"/>
      <c r="E770"/>
      <c r="F770" s="6"/>
      <c r="G770"/>
    </row>
    <row r="771" spans="3:7">
      <c r="C771"/>
      <c r="D771"/>
      <c r="E771"/>
      <c r="F771" s="6"/>
      <c r="G771"/>
    </row>
    <row r="772" spans="3:7">
      <c r="C772"/>
      <c r="D772"/>
      <c r="E772"/>
      <c r="F772" s="6"/>
      <c r="G772"/>
    </row>
    <row r="773" spans="3:7">
      <c r="C773"/>
      <c r="D773"/>
      <c r="E773"/>
      <c r="F773" s="6"/>
      <c r="G773"/>
    </row>
    <row r="774" spans="3:7">
      <c r="C774"/>
      <c r="D774"/>
      <c r="E774"/>
      <c r="F774" s="6"/>
      <c r="G774"/>
    </row>
    <row r="775" spans="3:7">
      <c r="C775"/>
      <c r="D775"/>
      <c r="E775"/>
      <c r="F775" s="6"/>
      <c r="G775"/>
    </row>
    <row r="776" spans="3:7">
      <c r="C776"/>
      <c r="D776"/>
      <c r="E776"/>
      <c r="F776" s="6"/>
      <c r="G776"/>
    </row>
    <row r="777" spans="3:7">
      <c r="C777"/>
      <c r="D777"/>
      <c r="E777"/>
      <c r="F777" s="6"/>
      <c r="G777"/>
    </row>
    <row r="778" spans="3:7">
      <c r="C778"/>
      <c r="D778"/>
      <c r="E778"/>
      <c r="F778" s="6"/>
      <c r="G778"/>
    </row>
    <row r="779" spans="3:7">
      <c r="C779"/>
      <c r="D779"/>
      <c r="E779"/>
      <c r="F779" s="6"/>
      <c r="G779"/>
    </row>
    <row r="780" spans="3:7">
      <c r="C780"/>
      <c r="D780"/>
      <c r="E780"/>
      <c r="F780" s="6"/>
      <c r="G780"/>
    </row>
    <row r="781" spans="3:7">
      <c r="C781"/>
      <c r="D781"/>
      <c r="E781"/>
      <c r="F781" s="6"/>
      <c r="G781"/>
    </row>
    <row r="782" spans="3:7">
      <c r="C782"/>
      <c r="D782"/>
      <c r="E782"/>
      <c r="F782" s="6"/>
      <c r="G782"/>
    </row>
    <row r="783" spans="3:7">
      <c r="C783"/>
      <c r="D783"/>
      <c r="E783"/>
      <c r="F783" s="6"/>
      <c r="G783"/>
    </row>
    <row r="784" spans="3:7">
      <c r="C784"/>
      <c r="D784"/>
      <c r="E784"/>
      <c r="F784" s="6"/>
      <c r="G784"/>
    </row>
    <row r="785" spans="3:7">
      <c r="C785"/>
      <c r="D785"/>
      <c r="E785"/>
      <c r="F785" s="6"/>
      <c r="G785"/>
    </row>
    <row r="786" spans="3:7">
      <c r="C786"/>
      <c r="D786"/>
      <c r="E786"/>
      <c r="F786" s="6"/>
      <c r="G786"/>
    </row>
    <row r="787" spans="3:7">
      <c r="C787"/>
      <c r="D787"/>
      <c r="E787"/>
      <c r="F787" s="6"/>
      <c r="G787"/>
    </row>
    <row r="788" spans="3:7">
      <c r="C788"/>
      <c r="D788"/>
      <c r="E788"/>
      <c r="F788" s="6"/>
      <c r="G788"/>
    </row>
    <row r="789" spans="3:7">
      <c r="C789"/>
      <c r="D789"/>
      <c r="E789"/>
      <c r="F789" s="6"/>
      <c r="G789"/>
    </row>
    <row r="790" spans="3:7">
      <c r="C790"/>
      <c r="D790"/>
      <c r="E790"/>
      <c r="F790" s="6"/>
      <c r="G790"/>
    </row>
    <row r="791" spans="3:7">
      <c r="C791"/>
      <c r="D791"/>
      <c r="E791"/>
      <c r="F791" s="6"/>
      <c r="G791"/>
    </row>
    <row r="792" spans="3:7">
      <c r="C792"/>
      <c r="D792"/>
      <c r="E792"/>
      <c r="F792" s="6"/>
      <c r="G792"/>
    </row>
    <row r="793" spans="3:7">
      <c r="C793"/>
      <c r="D793"/>
      <c r="E793"/>
      <c r="F793" s="6"/>
      <c r="G793"/>
    </row>
    <row r="794" spans="3:7">
      <c r="C794"/>
      <c r="D794"/>
      <c r="E794"/>
      <c r="F794" s="6"/>
      <c r="G794"/>
    </row>
    <row r="795" spans="3:7">
      <c r="C795"/>
      <c r="D795"/>
      <c r="E795"/>
      <c r="F795" s="6"/>
      <c r="G795"/>
    </row>
    <row r="796" spans="3:7">
      <c r="C796"/>
      <c r="D796"/>
      <c r="E796"/>
      <c r="F796" s="6"/>
      <c r="G796"/>
    </row>
    <row r="797" spans="3:7">
      <c r="C797"/>
      <c r="D797"/>
      <c r="E797"/>
      <c r="F797" s="6"/>
      <c r="G797"/>
    </row>
    <row r="798" spans="3:7">
      <c r="C798"/>
      <c r="D798"/>
      <c r="E798"/>
      <c r="F798" s="6"/>
      <c r="G798"/>
    </row>
    <row r="799" spans="3:7">
      <c r="C799"/>
      <c r="D799"/>
      <c r="E799"/>
      <c r="F799" s="6"/>
      <c r="G799"/>
    </row>
    <row r="800" spans="3:7">
      <c r="C800"/>
      <c r="D800"/>
      <c r="E800"/>
      <c r="F800" s="6"/>
      <c r="G800"/>
    </row>
    <row r="801" spans="3:7">
      <c r="C801"/>
      <c r="D801"/>
      <c r="E801"/>
      <c r="F801" s="6"/>
      <c r="G801"/>
    </row>
    <row r="802" spans="3:7">
      <c r="C802"/>
      <c r="D802"/>
      <c r="E802"/>
      <c r="F802" s="6"/>
      <c r="G802"/>
    </row>
    <row r="803" spans="3:7">
      <c r="C803"/>
      <c r="D803"/>
      <c r="E803"/>
      <c r="F803" s="6"/>
      <c r="G803"/>
    </row>
    <row r="804" spans="3:7">
      <c r="C804"/>
      <c r="D804"/>
      <c r="E804"/>
      <c r="F804" s="6"/>
      <c r="G804"/>
    </row>
    <row r="805" spans="3:7">
      <c r="C805"/>
      <c r="D805"/>
      <c r="E805"/>
      <c r="F805" s="6"/>
      <c r="G805"/>
    </row>
    <row r="806" spans="3:7">
      <c r="C806"/>
      <c r="D806"/>
      <c r="E806"/>
      <c r="F806" s="6"/>
      <c r="G806"/>
    </row>
    <row r="807" spans="3:7">
      <c r="C807"/>
      <c r="D807"/>
      <c r="E807"/>
      <c r="F807" s="6"/>
      <c r="G807"/>
    </row>
    <row r="808" spans="3:7">
      <c r="C808"/>
      <c r="D808"/>
      <c r="E808"/>
      <c r="F808" s="6"/>
      <c r="G808"/>
    </row>
    <row r="809" spans="3:7">
      <c r="C809"/>
      <c r="D809"/>
      <c r="E809"/>
      <c r="F809" s="6"/>
      <c r="G809"/>
    </row>
    <row r="810" spans="3:7">
      <c r="C810"/>
      <c r="D810"/>
      <c r="E810"/>
      <c r="F810" s="6"/>
      <c r="G810"/>
    </row>
    <row r="811" spans="3:7">
      <c r="C811"/>
      <c r="D811"/>
      <c r="E811"/>
      <c r="F811" s="6"/>
      <c r="G811"/>
    </row>
    <row r="812" spans="3:7">
      <c r="C812"/>
      <c r="D812"/>
      <c r="E812"/>
      <c r="F812" s="6"/>
      <c r="G812"/>
    </row>
    <row r="813" spans="3:7">
      <c r="C813"/>
      <c r="D813"/>
      <c r="E813"/>
      <c r="F813" s="6"/>
      <c r="G813"/>
    </row>
    <row r="814" spans="3:7">
      <c r="C814"/>
      <c r="D814"/>
      <c r="E814"/>
      <c r="F814" s="6"/>
      <c r="G814"/>
    </row>
    <row r="815" spans="3:7">
      <c r="C815"/>
      <c r="D815"/>
      <c r="E815"/>
      <c r="F815" s="6"/>
      <c r="G815"/>
    </row>
    <row r="816" spans="3:7">
      <c r="C816"/>
      <c r="D816"/>
      <c r="E816"/>
      <c r="F816" s="6"/>
      <c r="G816"/>
    </row>
    <row r="817" spans="3:7">
      <c r="C817"/>
      <c r="D817"/>
      <c r="E817"/>
      <c r="F817" s="6"/>
      <c r="G817"/>
    </row>
    <row r="818" spans="3:7">
      <c r="C818"/>
      <c r="D818"/>
      <c r="E818"/>
      <c r="F818" s="6"/>
      <c r="G818"/>
    </row>
    <row r="819" spans="3:7">
      <c r="C819"/>
      <c r="D819"/>
      <c r="E819"/>
      <c r="F819" s="6"/>
      <c r="G819"/>
    </row>
    <row r="820" spans="3:7">
      <c r="C820"/>
      <c r="D820"/>
      <c r="E820"/>
      <c r="F820" s="6"/>
      <c r="G820"/>
    </row>
    <row r="821" spans="3:7">
      <c r="C821"/>
      <c r="D821"/>
      <c r="E821"/>
      <c r="F821" s="6"/>
      <c r="G821"/>
    </row>
    <row r="822" spans="3:7">
      <c r="C822"/>
      <c r="D822"/>
      <c r="E822"/>
      <c r="F822" s="6"/>
      <c r="G822"/>
    </row>
    <row r="823" spans="3:7">
      <c r="C823"/>
      <c r="D823"/>
      <c r="E823"/>
      <c r="F823" s="6"/>
      <c r="G823"/>
    </row>
    <row r="824" spans="3:7">
      <c r="C824"/>
      <c r="D824"/>
      <c r="E824"/>
      <c r="F824" s="6"/>
      <c r="G824"/>
    </row>
    <row r="825" spans="3:7">
      <c r="C825"/>
      <c r="D825"/>
      <c r="E825"/>
      <c r="F825" s="6"/>
      <c r="G825"/>
    </row>
    <row r="826" spans="3:7">
      <c r="C826"/>
      <c r="D826"/>
      <c r="E826"/>
      <c r="F826" s="6"/>
      <c r="G826"/>
    </row>
    <row r="827" spans="3:7">
      <c r="C827"/>
      <c r="D827"/>
      <c r="E827"/>
      <c r="F827" s="6"/>
      <c r="G827"/>
    </row>
    <row r="828" spans="3:7">
      <c r="C828"/>
      <c r="D828"/>
      <c r="E828"/>
      <c r="F828" s="6"/>
      <c r="G828"/>
    </row>
    <row r="829" spans="3:7">
      <c r="C829"/>
      <c r="D829"/>
      <c r="E829"/>
      <c r="F829" s="6"/>
      <c r="G829"/>
    </row>
    <row r="830" spans="3:7">
      <c r="C830"/>
      <c r="D830"/>
      <c r="E830"/>
      <c r="F830" s="6"/>
      <c r="G830"/>
    </row>
    <row r="831" spans="3:7">
      <c r="C831"/>
      <c r="D831"/>
      <c r="E831"/>
      <c r="F831" s="6"/>
      <c r="G831"/>
    </row>
    <row r="832" spans="3:7">
      <c r="C832"/>
      <c r="D832"/>
      <c r="E832"/>
      <c r="F832" s="6"/>
      <c r="G832"/>
    </row>
    <row r="833" spans="3:7">
      <c r="C833"/>
      <c r="D833"/>
      <c r="E833"/>
      <c r="F833" s="6"/>
      <c r="G833"/>
    </row>
    <row r="834" spans="3:7">
      <c r="C834"/>
      <c r="D834"/>
      <c r="E834"/>
      <c r="F834" s="6"/>
      <c r="G834"/>
    </row>
    <row r="835" spans="3:7">
      <c r="C835"/>
      <c r="D835"/>
      <c r="E835"/>
      <c r="F835" s="6"/>
      <c r="G835"/>
    </row>
    <row r="836" spans="3:7">
      <c r="C836"/>
      <c r="D836"/>
      <c r="E836"/>
      <c r="F836" s="6"/>
      <c r="G836"/>
    </row>
    <row r="837" spans="3:7">
      <c r="C837"/>
      <c r="D837"/>
      <c r="E837"/>
      <c r="F837" s="6"/>
      <c r="G837"/>
    </row>
    <row r="838" spans="3:7">
      <c r="C838"/>
      <c r="D838"/>
      <c r="E838"/>
      <c r="F838" s="6"/>
      <c r="G838"/>
    </row>
    <row r="839" spans="3:7">
      <c r="C839"/>
      <c r="D839"/>
      <c r="E839"/>
      <c r="F839" s="6"/>
      <c r="G839"/>
    </row>
    <row r="840" spans="3:7">
      <c r="C840"/>
      <c r="D840"/>
      <c r="E840"/>
      <c r="F840" s="6"/>
      <c r="G840"/>
    </row>
    <row r="841" spans="3:7">
      <c r="C841"/>
      <c r="D841"/>
      <c r="E841"/>
      <c r="F841" s="6"/>
      <c r="G841"/>
    </row>
    <row r="842" spans="3:7">
      <c r="C842"/>
      <c r="D842"/>
      <c r="E842"/>
      <c r="F842" s="6"/>
      <c r="G842"/>
    </row>
    <row r="843" spans="3:7">
      <c r="C843"/>
      <c r="D843"/>
      <c r="E843"/>
      <c r="F843" s="6"/>
      <c r="G843"/>
    </row>
    <row r="844" spans="3:7">
      <c r="C844"/>
      <c r="D844"/>
      <c r="E844"/>
      <c r="F844" s="6"/>
      <c r="G844"/>
    </row>
    <row r="845" spans="3:7">
      <c r="C845"/>
      <c r="D845"/>
      <c r="E845"/>
      <c r="F845" s="6"/>
      <c r="G845"/>
    </row>
    <row r="846" spans="3:7">
      <c r="C846"/>
      <c r="D846"/>
      <c r="E846"/>
      <c r="F846" s="6"/>
      <c r="G846"/>
    </row>
    <row r="847" spans="3:7">
      <c r="C847"/>
      <c r="D847"/>
      <c r="E847"/>
      <c r="F847" s="6"/>
      <c r="G847"/>
    </row>
    <row r="848" spans="3:7">
      <c r="C848"/>
      <c r="D848"/>
      <c r="E848"/>
      <c r="F848" s="6"/>
      <c r="G848"/>
    </row>
    <row r="849" spans="3:7">
      <c r="C849"/>
      <c r="D849"/>
      <c r="E849"/>
      <c r="F849" s="6"/>
      <c r="G849"/>
    </row>
    <row r="850" spans="3:7">
      <c r="C850"/>
      <c r="D850"/>
      <c r="E850"/>
      <c r="F850" s="6"/>
      <c r="G850"/>
    </row>
    <row r="851" spans="3:7">
      <c r="C851"/>
      <c r="D851"/>
      <c r="E851"/>
      <c r="F851" s="6"/>
      <c r="G851"/>
    </row>
    <row r="852" spans="3:7">
      <c r="C852"/>
      <c r="D852"/>
      <c r="E852"/>
      <c r="F852" s="6"/>
      <c r="G852"/>
    </row>
    <row r="853" spans="3:7">
      <c r="C853"/>
      <c r="D853"/>
      <c r="E853"/>
      <c r="F853" s="6"/>
      <c r="G853"/>
    </row>
    <row r="854" spans="3:7">
      <c r="C854"/>
      <c r="D854"/>
      <c r="E854"/>
      <c r="F854" s="6"/>
      <c r="G854"/>
    </row>
    <row r="855" spans="3:7">
      <c r="C855"/>
      <c r="D855"/>
      <c r="E855"/>
      <c r="F855" s="6"/>
      <c r="G855"/>
    </row>
    <row r="856" spans="3:7">
      <c r="C856"/>
      <c r="D856"/>
      <c r="E856"/>
      <c r="F856" s="6"/>
      <c r="G856"/>
    </row>
    <row r="857" spans="3:7">
      <c r="C857"/>
      <c r="D857"/>
      <c r="E857"/>
      <c r="F857" s="6"/>
      <c r="G857"/>
    </row>
    <row r="858" spans="3:7">
      <c r="C858"/>
      <c r="D858"/>
      <c r="E858"/>
      <c r="F858" s="6"/>
      <c r="G858"/>
    </row>
    <row r="859" spans="3:7">
      <c r="C859"/>
      <c r="D859"/>
      <c r="E859"/>
      <c r="F859" s="6"/>
      <c r="G859"/>
    </row>
    <row r="860" spans="3:7">
      <c r="C860"/>
      <c r="D860"/>
      <c r="E860"/>
      <c r="F860" s="6"/>
      <c r="G860"/>
    </row>
    <row r="861" spans="3:7">
      <c r="C861"/>
      <c r="D861"/>
      <c r="E861"/>
      <c r="F861" s="6"/>
      <c r="G861"/>
    </row>
    <row r="862" spans="3:7">
      <c r="C862"/>
      <c r="D862"/>
      <c r="E862"/>
      <c r="F862" s="6"/>
      <c r="G862"/>
    </row>
    <row r="863" spans="3:7">
      <c r="C863"/>
      <c r="D863"/>
      <c r="E863"/>
      <c r="F863" s="6"/>
      <c r="G863"/>
    </row>
    <row r="864" spans="3:7">
      <c r="C864"/>
      <c r="D864"/>
      <c r="E864"/>
      <c r="F864" s="6"/>
      <c r="G864"/>
    </row>
    <row r="865" spans="3:7">
      <c r="C865"/>
      <c r="D865"/>
      <c r="E865"/>
      <c r="F865" s="6"/>
      <c r="G865"/>
    </row>
    <row r="866" spans="3:7">
      <c r="C866"/>
      <c r="D866"/>
      <c r="E866"/>
      <c r="F866" s="6"/>
      <c r="G866"/>
    </row>
    <row r="867" spans="3:7">
      <c r="C867"/>
      <c r="D867"/>
      <c r="E867"/>
      <c r="F867" s="6"/>
      <c r="G867"/>
    </row>
    <row r="868" spans="3:7">
      <c r="C868"/>
      <c r="D868"/>
      <c r="E868"/>
      <c r="F868" s="6"/>
      <c r="G868"/>
    </row>
    <row r="869" spans="3:7">
      <c r="C869"/>
      <c r="D869"/>
      <c r="E869"/>
      <c r="F869" s="6"/>
      <c r="G869"/>
    </row>
    <row r="870" spans="3:7">
      <c r="C870"/>
      <c r="D870"/>
      <c r="E870"/>
      <c r="F870" s="6"/>
      <c r="G870"/>
    </row>
    <row r="871" spans="3:7">
      <c r="C871"/>
      <c r="D871"/>
      <c r="E871"/>
      <c r="F871" s="6"/>
      <c r="G871"/>
    </row>
    <row r="872" spans="3:7">
      <c r="C872"/>
      <c r="D872"/>
      <c r="E872"/>
      <c r="F872" s="6"/>
      <c r="G872"/>
    </row>
    <row r="873" spans="3:7">
      <c r="C873"/>
      <c r="D873"/>
      <c r="E873"/>
      <c r="F873" s="6"/>
      <c r="G873"/>
    </row>
    <row r="874" spans="3:7">
      <c r="C874"/>
      <c r="D874"/>
      <c r="E874"/>
      <c r="F874" s="6"/>
      <c r="G874"/>
    </row>
    <row r="875" spans="3:7">
      <c r="C875"/>
      <c r="D875"/>
      <c r="E875"/>
      <c r="F875" s="6"/>
      <c r="G875"/>
    </row>
    <row r="876" spans="3:7">
      <c r="C876"/>
      <c r="D876"/>
      <c r="E876"/>
      <c r="F876" s="6"/>
      <c r="G876"/>
    </row>
    <row r="877" spans="3:7">
      <c r="C877"/>
      <c r="D877"/>
      <c r="E877"/>
      <c r="F877" s="6"/>
      <c r="G877"/>
    </row>
    <row r="878" spans="3:7">
      <c r="C878"/>
      <c r="D878"/>
      <c r="E878"/>
      <c r="F878" s="6"/>
      <c r="G878"/>
    </row>
    <row r="879" spans="3:7">
      <c r="C879"/>
      <c r="D879"/>
      <c r="E879"/>
      <c r="F879" s="6"/>
      <c r="G879"/>
    </row>
    <row r="880" spans="3:7">
      <c r="C880"/>
      <c r="D880"/>
      <c r="E880"/>
      <c r="F880" s="6"/>
      <c r="G880"/>
    </row>
    <row r="881" spans="3:7">
      <c r="C881"/>
      <c r="D881"/>
      <c r="E881"/>
      <c r="F881" s="6"/>
      <c r="G881"/>
    </row>
    <row r="882" spans="3:7">
      <c r="C882"/>
      <c r="D882"/>
      <c r="E882"/>
      <c r="F882" s="6"/>
      <c r="G882"/>
    </row>
    <row r="883" spans="3:7">
      <c r="C883"/>
      <c r="D883"/>
      <c r="E883"/>
      <c r="F883" s="6"/>
      <c r="G883"/>
    </row>
    <row r="884" spans="3:7">
      <c r="C884"/>
      <c r="D884"/>
      <c r="E884"/>
      <c r="F884" s="6"/>
      <c r="G884"/>
    </row>
    <row r="885" spans="3:7">
      <c r="C885"/>
      <c r="D885"/>
      <c r="E885"/>
      <c r="F885" s="6"/>
      <c r="G885"/>
    </row>
    <row r="886" spans="3:7">
      <c r="C886"/>
      <c r="D886"/>
      <c r="E886"/>
      <c r="F886" s="6"/>
      <c r="G886"/>
    </row>
    <row r="887" spans="3:7">
      <c r="C887"/>
      <c r="D887"/>
      <c r="E887"/>
      <c r="F887" s="6"/>
      <c r="G887"/>
    </row>
    <row r="888" spans="3:7">
      <c r="C888"/>
      <c r="D888"/>
      <c r="E888"/>
      <c r="F888" s="6"/>
      <c r="G888"/>
    </row>
    <row r="889" spans="3:7">
      <c r="C889"/>
      <c r="D889"/>
      <c r="E889"/>
      <c r="F889" s="6"/>
      <c r="G889"/>
    </row>
    <row r="890" spans="3:7">
      <c r="C890"/>
      <c r="D890"/>
      <c r="E890"/>
      <c r="F890" s="6"/>
      <c r="G890"/>
    </row>
    <row r="891" spans="3:7">
      <c r="C891"/>
      <c r="D891"/>
      <c r="E891"/>
      <c r="F891" s="6"/>
      <c r="G891"/>
    </row>
    <row r="892" spans="3:7">
      <c r="C892"/>
      <c r="D892"/>
      <c r="E892"/>
      <c r="F892" s="6"/>
      <c r="G892"/>
    </row>
    <row r="893" spans="3:7">
      <c r="C893"/>
      <c r="D893"/>
      <c r="E893"/>
      <c r="F893" s="6"/>
      <c r="G893"/>
    </row>
    <row r="894" spans="3:7">
      <c r="C894"/>
      <c r="D894"/>
      <c r="E894"/>
      <c r="F894" s="6"/>
      <c r="G894"/>
    </row>
    <row r="895" spans="3:7">
      <c r="C895"/>
      <c r="D895"/>
      <c r="E895"/>
      <c r="F895" s="6"/>
      <c r="G895"/>
    </row>
    <row r="896" spans="3:7">
      <c r="C896"/>
      <c r="D896"/>
      <c r="E896"/>
      <c r="F896" s="6"/>
      <c r="G896"/>
    </row>
    <row r="897" spans="3:7">
      <c r="C897"/>
      <c r="D897"/>
      <c r="E897"/>
      <c r="F897" s="6"/>
      <c r="G897"/>
    </row>
    <row r="898" spans="3:7">
      <c r="C898"/>
      <c r="D898"/>
      <c r="E898"/>
      <c r="F898" s="6"/>
      <c r="G898"/>
    </row>
    <row r="899" spans="3:7">
      <c r="C899"/>
      <c r="D899"/>
      <c r="E899"/>
      <c r="F899" s="6"/>
      <c r="G899"/>
    </row>
    <row r="900" spans="3:7">
      <c r="C900"/>
      <c r="D900"/>
      <c r="E900"/>
      <c r="F900" s="6"/>
      <c r="G900"/>
    </row>
    <row r="901" spans="3:7">
      <c r="C901"/>
      <c r="D901"/>
      <c r="E901"/>
      <c r="F901" s="6"/>
      <c r="G901"/>
    </row>
    <row r="902" spans="3:7">
      <c r="C902"/>
      <c r="D902"/>
      <c r="E902"/>
      <c r="F902" s="6"/>
      <c r="G902"/>
    </row>
    <row r="903" spans="3:7">
      <c r="C903"/>
      <c r="D903"/>
      <c r="E903"/>
      <c r="F903" s="6"/>
      <c r="G903"/>
    </row>
    <row r="904" spans="3:7">
      <c r="C904"/>
      <c r="D904"/>
      <c r="E904"/>
      <c r="F904" s="6"/>
      <c r="G904"/>
    </row>
    <row r="905" spans="3:7">
      <c r="C905"/>
      <c r="D905"/>
      <c r="E905"/>
      <c r="F905" s="6"/>
      <c r="G905"/>
    </row>
    <row r="906" spans="3:7">
      <c r="C906"/>
      <c r="D906"/>
      <c r="E906"/>
      <c r="F906" s="6"/>
      <c r="G906"/>
    </row>
    <row r="907" spans="3:7">
      <c r="C907"/>
      <c r="D907"/>
      <c r="E907"/>
      <c r="F907" s="6"/>
      <c r="G907"/>
    </row>
    <row r="908" spans="3:7">
      <c r="C908"/>
      <c r="D908"/>
      <c r="E908"/>
      <c r="F908" s="6"/>
      <c r="G908"/>
    </row>
    <row r="909" spans="3:7">
      <c r="C909"/>
      <c r="D909"/>
      <c r="E909"/>
      <c r="F909" s="6"/>
      <c r="G909"/>
    </row>
    <row r="910" spans="3:7">
      <c r="C910"/>
      <c r="D910"/>
      <c r="E910"/>
      <c r="F910" s="6"/>
      <c r="G910"/>
    </row>
    <row r="911" spans="3:7">
      <c r="C911"/>
      <c r="D911"/>
      <c r="E911"/>
      <c r="F911" s="6"/>
      <c r="G911"/>
    </row>
    <row r="912" spans="3:7">
      <c r="C912"/>
      <c r="D912"/>
      <c r="E912"/>
      <c r="F912" s="6"/>
      <c r="G912"/>
    </row>
    <row r="913" spans="3:7">
      <c r="C913"/>
      <c r="D913"/>
      <c r="E913"/>
      <c r="F913" s="6"/>
      <c r="G913"/>
    </row>
    <row r="914" spans="3:7">
      <c r="C914"/>
      <c r="D914"/>
      <c r="E914"/>
      <c r="F914" s="6"/>
      <c r="G914"/>
    </row>
    <row r="915" spans="3:7">
      <c r="C915"/>
      <c r="D915"/>
      <c r="E915"/>
      <c r="F915" s="6"/>
      <c r="G915"/>
    </row>
    <row r="916" spans="3:7">
      <c r="C916"/>
      <c r="D916"/>
      <c r="E916"/>
      <c r="F916" s="6"/>
      <c r="G916"/>
    </row>
    <row r="917" spans="3:7">
      <c r="C917"/>
      <c r="D917"/>
      <c r="E917"/>
      <c r="F917" s="6"/>
      <c r="G917"/>
    </row>
    <row r="918" spans="3:7">
      <c r="C918"/>
      <c r="D918"/>
      <c r="E918"/>
      <c r="F918" s="6"/>
      <c r="G918"/>
    </row>
    <row r="919" spans="3:7">
      <c r="C919"/>
      <c r="D919"/>
      <c r="E919"/>
      <c r="F919" s="6"/>
      <c r="G919"/>
    </row>
    <row r="920" spans="3:7">
      <c r="C920"/>
      <c r="D920"/>
      <c r="E920"/>
      <c r="F920" s="6"/>
      <c r="G920"/>
    </row>
    <row r="921" spans="3:7">
      <c r="C921"/>
      <c r="D921"/>
      <c r="E921"/>
      <c r="F921" s="6"/>
      <c r="G921"/>
    </row>
    <row r="922" spans="3:7">
      <c r="C922"/>
      <c r="D922"/>
      <c r="E922"/>
      <c r="F922" s="6"/>
      <c r="G922"/>
    </row>
    <row r="923" spans="3:7">
      <c r="C923"/>
      <c r="D923"/>
      <c r="E923"/>
      <c r="F923" s="6"/>
      <c r="G923"/>
    </row>
    <row r="924" spans="3:7">
      <c r="C924"/>
      <c r="D924"/>
      <c r="E924"/>
      <c r="F924" s="6"/>
      <c r="G924"/>
    </row>
    <row r="925" spans="3:7">
      <c r="C925"/>
      <c r="D925"/>
      <c r="E925"/>
      <c r="F925" s="6"/>
      <c r="G925"/>
    </row>
    <row r="926" spans="3:7">
      <c r="C926"/>
      <c r="D926"/>
      <c r="E926"/>
      <c r="F926" s="6"/>
      <c r="G926"/>
    </row>
    <row r="927" spans="3:7">
      <c r="C927"/>
      <c r="D927"/>
      <c r="E927"/>
      <c r="F927" s="6"/>
      <c r="G927"/>
    </row>
    <row r="928" spans="3:7">
      <c r="C928"/>
      <c r="D928"/>
      <c r="E928"/>
      <c r="F928" s="6"/>
      <c r="G928"/>
    </row>
    <row r="929" spans="3:7">
      <c r="C929"/>
      <c r="D929"/>
      <c r="E929"/>
      <c r="F929" s="6"/>
      <c r="G929"/>
    </row>
    <row r="930" spans="3:7">
      <c r="C930"/>
      <c r="D930"/>
      <c r="E930"/>
      <c r="F930" s="6"/>
      <c r="G930"/>
    </row>
    <row r="931" spans="3:7">
      <c r="C931"/>
      <c r="D931"/>
      <c r="E931"/>
      <c r="F931" s="6"/>
      <c r="G931"/>
    </row>
    <row r="932" spans="3:7">
      <c r="C932"/>
      <c r="D932"/>
      <c r="E932"/>
      <c r="F932" s="6"/>
      <c r="G932"/>
    </row>
    <row r="933" spans="3:7">
      <c r="C933"/>
      <c r="D933"/>
      <c r="E933"/>
      <c r="F933" s="6"/>
      <c r="G933"/>
    </row>
    <row r="934" spans="3:7">
      <c r="C934"/>
      <c r="D934"/>
      <c r="E934"/>
      <c r="F934" s="6"/>
      <c r="G934"/>
    </row>
    <row r="935" spans="3:7">
      <c r="C935"/>
      <c r="D935"/>
      <c r="E935"/>
      <c r="F935" s="6"/>
      <c r="G935"/>
    </row>
    <row r="936" spans="3:7">
      <c r="C936"/>
      <c r="D936"/>
      <c r="E936"/>
      <c r="F936" s="6"/>
      <c r="G936"/>
    </row>
    <row r="937" spans="3:7">
      <c r="C937"/>
      <c r="D937"/>
      <c r="E937"/>
      <c r="F937" s="6"/>
      <c r="G937"/>
    </row>
    <row r="938" spans="3:7">
      <c r="C938"/>
      <c r="D938"/>
      <c r="E938"/>
      <c r="F938" s="6"/>
      <c r="G938"/>
    </row>
    <row r="939" spans="3:7">
      <c r="C939"/>
      <c r="D939"/>
      <c r="E939"/>
      <c r="F939" s="6"/>
      <c r="G939"/>
    </row>
    <row r="940" spans="3:7">
      <c r="C940"/>
      <c r="D940"/>
      <c r="E940"/>
      <c r="F940" s="6"/>
      <c r="G940"/>
    </row>
    <row r="941" spans="3:7">
      <c r="C941"/>
      <c r="D941"/>
      <c r="E941"/>
      <c r="F941" s="6"/>
      <c r="G941"/>
    </row>
    <row r="942" spans="3:7">
      <c r="C942"/>
      <c r="D942"/>
      <c r="E942"/>
      <c r="F942" s="6"/>
      <c r="G942"/>
    </row>
    <row r="943" spans="3:7">
      <c r="C943"/>
      <c r="D943"/>
      <c r="E943"/>
      <c r="F943" s="6"/>
      <c r="G943"/>
    </row>
    <row r="944" spans="3:7">
      <c r="C944"/>
      <c r="D944"/>
      <c r="E944"/>
      <c r="F944" s="6"/>
      <c r="G944"/>
    </row>
    <row r="945" spans="3:7">
      <c r="C945"/>
      <c r="D945"/>
      <c r="E945"/>
      <c r="F945" s="6"/>
      <c r="G945"/>
    </row>
    <row r="946" spans="3:7">
      <c r="C946"/>
      <c r="D946"/>
      <c r="E946"/>
      <c r="F946" s="6"/>
      <c r="G946"/>
    </row>
    <row r="947" spans="3:7">
      <c r="C947"/>
      <c r="D947"/>
      <c r="E947"/>
      <c r="F947" s="6"/>
      <c r="G947"/>
    </row>
    <row r="948" spans="3:7">
      <c r="C948"/>
      <c r="D948"/>
      <c r="E948"/>
      <c r="F948" s="6"/>
      <c r="G948"/>
    </row>
    <row r="949" spans="3:7">
      <c r="C949"/>
      <c r="D949"/>
      <c r="E949"/>
      <c r="F949" s="6"/>
      <c r="G949"/>
    </row>
    <row r="950" spans="3:7">
      <c r="C950"/>
      <c r="D950"/>
      <c r="E950"/>
      <c r="F950" s="6"/>
      <c r="G950"/>
    </row>
    <row r="951" spans="3:7">
      <c r="C951"/>
      <c r="D951"/>
      <c r="E951"/>
      <c r="F951" s="6"/>
      <c r="G951"/>
    </row>
    <row r="952" spans="3:7">
      <c r="C952"/>
      <c r="D952"/>
      <c r="E952"/>
      <c r="F952" s="6"/>
      <c r="G952"/>
    </row>
    <row r="953" spans="3:7">
      <c r="C953"/>
      <c r="D953"/>
      <c r="E953"/>
      <c r="F953" s="6"/>
      <c r="G953"/>
    </row>
    <row r="954" spans="3:7">
      <c r="C954"/>
      <c r="D954"/>
      <c r="E954"/>
      <c r="F954" s="6"/>
      <c r="G954"/>
    </row>
    <row r="955" spans="3:7">
      <c r="C955"/>
      <c r="D955"/>
      <c r="E955"/>
      <c r="F955" s="6"/>
      <c r="G955"/>
    </row>
    <row r="956" spans="3:7">
      <c r="C956"/>
      <c r="D956"/>
      <c r="E956"/>
      <c r="F956" s="6"/>
      <c r="G956"/>
    </row>
    <row r="957" spans="3:7">
      <c r="C957"/>
      <c r="D957"/>
      <c r="E957"/>
      <c r="F957" s="6"/>
      <c r="G957"/>
    </row>
    <row r="958" spans="3:7">
      <c r="C958"/>
      <c r="D958"/>
      <c r="E958"/>
      <c r="F958" s="6"/>
      <c r="G958"/>
    </row>
    <row r="959" spans="3:7">
      <c r="C959"/>
      <c r="D959"/>
      <c r="E959"/>
      <c r="F959" s="6"/>
      <c r="G959"/>
    </row>
    <row r="960" spans="3:7">
      <c r="C960"/>
      <c r="D960"/>
      <c r="E960"/>
      <c r="F960" s="6"/>
      <c r="G960"/>
    </row>
    <row r="961" spans="3:7">
      <c r="C961"/>
      <c r="D961"/>
      <c r="E961"/>
      <c r="F961" s="6"/>
      <c r="G961"/>
    </row>
    <row r="962" spans="3:7">
      <c r="C962"/>
      <c r="D962"/>
      <c r="E962"/>
      <c r="F962" s="6"/>
      <c r="G962"/>
    </row>
    <row r="963" spans="3:7">
      <c r="C963"/>
      <c r="D963"/>
      <c r="E963"/>
      <c r="F963" s="6"/>
      <c r="G963"/>
    </row>
    <row r="964" spans="3:7">
      <c r="C964"/>
      <c r="D964"/>
      <c r="E964"/>
      <c r="F964" s="6"/>
      <c r="G964"/>
    </row>
    <row r="965" spans="3:7">
      <c r="C965"/>
      <c r="D965"/>
      <c r="E965"/>
      <c r="F965" s="6"/>
      <c r="G965"/>
    </row>
    <row r="966" spans="3:7">
      <c r="C966"/>
      <c r="D966"/>
      <c r="E966"/>
      <c r="F966" s="6"/>
      <c r="G966"/>
    </row>
    <row r="967" spans="3:7">
      <c r="C967"/>
      <c r="D967"/>
      <c r="E967"/>
      <c r="F967" s="6"/>
      <c r="G967"/>
    </row>
    <row r="968" spans="3:7">
      <c r="C968"/>
      <c r="D968"/>
      <c r="E968"/>
      <c r="F968" s="6"/>
      <c r="G968"/>
    </row>
    <row r="969" spans="3:7">
      <c r="C969"/>
      <c r="D969"/>
      <c r="E969"/>
      <c r="F969" s="6"/>
      <c r="G969"/>
    </row>
    <row r="970" spans="3:7">
      <c r="C970"/>
      <c r="D970"/>
      <c r="E970"/>
      <c r="F970" s="6"/>
      <c r="G970"/>
    </row>
    <row r="971" spans="3:7">
      <c r="C971"/>
      <c r="D971"/>
      <c r="E971"/>
      <c r="F971" s="6"/>
      <c r="G971"/>
    </row>
    <row r="972" spans="3:7">
      <c r="C972"/>
      <c r="D972"/>
      <c r="E972"/>
      <c r="F972" s="6"/>
      <c r="G972"/>
    </row>
    <row r="973" spans="3:7">
      <c r="C973"/>
      <c r="D973"/>
      <c r="E973"/>
      <c r="F973" s="6"/>
      <c r="G973"/>
    </row>
    <row r="974" spans="3:7">
      <c r="C974"/>
      <c r="D974"/>
      <c r="E974"/>
      <c r="F974" s="6"/>
      <c r="G974"/>
    </row>
    <row r="975" spans="3:7">
      <c r="C975"/>
      <c r="D975"/>
      <c r="E975"/>
      <c r="F975" s="6"/>
      <c r="G975"/>
    </row>
    <row r="976" spans="3:7">
      <c r="C976"/>
      <c r="D976"/>
      <c r="E976"/>
      <c r="F976" s="6"/>
      <c r="G976"/>
    </row>
    <row r="977" spans="3:7">
      <c r="C977"/>
      <c r="D977"/>
      <c r="E977"/>
      <c r="F977" s="6"/>
      <c r="G977"/>
    </row>
    <row r="978" spans="3:7">
      <c r="C978"/>
      <c r="D978"/>
      <c r="E978"/>
      <c r="F978" s="6"/>
      <c r="G978"/>
    </row>
    <row r="979" spans="3:7">
      <c r="C979"/>
      <c r="D979"/>
      <c r="E979"/>
      <c r="F979" s="6"/>
      <c r="G979"/>
    </row>
    <row r="980" spans="3:7">
      <c r="C980"/>
      <c r="D980"/>
      <c r="E980"/>
      <c r="F980" s="6"/>
      <c r="G980"/>
    </row>
    <row r="981" spans="3:7">
      <c r="C981"/>
      <c r="D981"/>
      <c r="E981"/>
      <c r="F981" s="6"/>
      <c r="G981"/>
    </row>
    <row r="982" spans="3:7">
      <c r="C982"/>
      <c r="D982"/>
      <c r="E982"/>
      <c r="F982" s="6"/>
      <c r="G982"/>
    </row>
    <row r="983" spans="3:7">
      <c r="C983"/>
      <c r="D983"/>
      <c r="E983"/>
      <c r="F983" s="6"/>
      <c r="G983"/>
    </row>
    <row r="984" spans="3:7">
      <c r="C984"/>
      <c r="D984"/>
      <c r="E984"/>
      <c r="F984" s="6"/>
      <c r="G984"/>
    </row>
    <row r="985" spans="3:7">
      <c r="C985"/>
      <c r="D985"/>
      <c r="E985"/>
      <c r="F985" s="6"/>
      <c r="G985"/>
    </row>
    <row r="986" spans="3:7">
      <c r="C986"/>
      <c r="D986"/>
      <c r="E986"/>
      <c r="F986" s="6"/>
      <c r="G986"/>
    </row>
    <row r="987" spans="3:7">
      <c r="C987"/>
      <c r="D987"/>
      <c r="E987"/>
      <c r="F987" s="6"/>
      <c r="G987"/>
    </row>
    <row r="988" spans="3:7">
      <c r="C988"/>
      <c r="D988"/>
      <c r="E988"/>
      <c r="F988" s="6"/>
      <c r="G988"/>
    </row>
    <row r="989" spans="3:7">
      <c r="C989"/>
      <c r="D989"/>
      <c r="E989"/>
      <c r="F989" s="6"/>
      <c r="G989"/>
    </row>
    <row r="990" spans="3:7">
      <c r="C990"/>
      <c r="D990"/>
      <c r="E990"/>
      <c r="F990" s="6"/>
      <c r="G990"/>
    </row>
    <row r="991" spans="3:7">
      <c r="C991"/>
      <c r="D991"/>
      <c r="E991"/>
      <c r="F991" s="6"/>
      <c r="G991"/>
    </row>
    <row r="992" spans="3:7">
      <c r="C992"/>
      <c r="D992"/>
      <c r="E992"/>
      <c r="F992" s="6"/>
      <c r="G992"/>
    </row>
    <row r="993" spans="3:7">
      <c r="C993"/>
      <c r="D993"/>
      <c r="E993"/>
      <c r="F993" s="6"/>
      <c r="G993"/>
    </row>
    <row r="994" spans="3:7">
      <c r="C994"/>
      <c r="D994"/>
      <c r="E994"/>
      <c r="F994" s="6"/>
      <c r="G994"/>
    </row>
    <row r="995" spans="3:7">
      <c r="C995"/>
      <c r="D995"/>
      <c r="E995"/>
      <c r="F995" s="6"/>
      <c r="G995"/>
    </row>
    <row r="996" spans="3:7">
      <c r="C996"/>
      <c r="D996"/>
      <c r="E996"/>
      <c r="F996" s="6"/>
      <c r="G996"/>
    </row>
    <row r="997" spans="3:7">
      <c r="C997"/>
      <c r="D997"/>
      <c r="E997"/>
      <c r="F997" s="6"/>
      <c r="G997"/>
    </row>
    <row r="998" spans="3:7">
      <c r="C998"/>
      <c r="D998"/>
      <c r="E998"/>
      <c r="F998" s="6"/>
      <c r="G998"/>
    </row>
    <row r="999" spans="3:7">
      <c r="C999"/>
      <c r="D999"/>
      <c r="E999"/>
      <c r="F999" s="6"/>
      <c r="G999"/>
    </row>
    <row r="1000" spans="3:7">
      <c r="C1000"/>
      <c r="D1000"/>
      <c r="E1000"/>
      <c r="F1000" s="6"/>
      <c r="G1000"/>
    </row>
    <row r="1001" spans="3:7">
      <c r="C1001"/>
      <c r="D1001"/>
      <c r="E1001"/>
      <c r="F1001" s="6"/>
      <c r="G1001"/>
    </row>
    <row r="1002" spans="3:7">
      <c r="C1002"/>
      <c r="D1002"/>
      <c r="E1002"/>
      <c r="F1002" s="6"/>
      <c r="G1002"/>
    </row>
    <row r="1003" spans="3:7">
      <c r="C1003"/>
      <c r="D1003"/>
      <c r="E1003"/>
      <c r="F1003" s="6"/>
      <c r="G1003"/>
    </row>
    <row r="1004" spans="3:7">
      <c r="C1004"/>
      <c r="D1004"/>
      <c r="E1004"/>
      <c r="F1004" s="6"/>
      <c r="G1004"/>
    </row>
    <row r="1005" spans="3:7">
      <c r="C1005"/>
      <c r="D1005"/>
      <c r="E1005"/>
      <c r="F1005" s="6"/>
      <c r="G1005"/>
    </row>
    <row r="1006" spans="3:7">
      <c r="C1006"/>
      <c r="D1006"/>
      <c r="E1006"/>
      <c r="F1006" s="6"/>
      <c r="G1006"/>
    </row>
    <row r="1007" spans="3:7">
      <c r="C1007"/>
      <c r="D1007"/>
      <c r="E1007"/>
      <c r="F1007" s="6"/>
      <c r="G1007"/>
    </row>
    <row r="1008" spans="3:7">
      <c r="C1008"/>
      <c r="D1008"/>
      <c r="E1008"/>
      <c r="F1008" s="6"/>
      <c r="G1008"/>
    </row>
    <row r="1009" spans="3:7">
      <c r="C1009"/>
      <c r="D1009"/>
      <c r="E1009"/>
      <c r="F1009" s="6"/>
      <c r="G1009"/>
    </row>
    <row r="1010" spans="3:7">
      <c r="C1010"/>
      <c r="D1010"/>
      <c r="E1010"/>
      <c r="F1010" s="6"/>
      <c r="G1010"/>
    </row>
    <row r="1011" spans="3:7">
      <c r="C1011"/>
      <c r="D1011"/>
      <c r="E1011"/>
      <c r="F1011" s="6"/>
      <c r="G1011"/>
    </row>
    <row r="1012" spans="3:7">
      <c r="C1012"/>
      <c r="D1012"/>
      <c r="E1012"/>
      <c r="F1012" s="6"/>
      <c r="G1012"/>
    </row>
    <row r="1013" spans="3:7">
      <c r="C1013"/>
      <c r="D1013"/>
      <c r="E1013"/>
      <c r="F1013" s="6"/>
      <c r="G1013"/>
    </row>
    <row r="1014" spans="3:7">
      <c r="C1014"/>
      <c r="D1014"/>
      <c r="E1014"/>
      <c r="F1014" s="6"/>
      <c r="G1014"/>
    </row>
    <row r="1015" spans="3:7">
      <c r="C1015"/>
      <c r="D1015"/>
      <c r="E1015"/>
      <c r="F1015" s="6"/>
      <c r="G1015"/>
    </row>
    <row r="1016" spans="3:7">
      <c r="C1016"/>
      <c r="D1016"/>
      <c r="E1016"/>
      <c r="F1016" s="6"/>
      <c r="G1016"/>
    </row>
    <row r="1017" spans="3:7">
      <c r="C1017"/>
      <c r="D1017"/>
      <c r="E1017"/>
      <c r="F1017" s="6"/>
      <c r="G1017"/>
    </row>
    <row r="1018" spans="3:7">
      <c r="C1018"/>
      <c r="D1018"/>
      <c r="E1018"/>
      <c r="F1018" s="6"/>
      <c r="G1018"/>
    </row>
    <row r="1019" spans="3:7">
      <c r="C1019"/>
      <c r="D1019"/>
      <c r="E1019"/>
      <c r="F1019" s="6"/>
      <c r="G1019"/>
    </row>
    <row r="1020" spans="3:7">
      <c r="C1020"/>
      <c r="D1020"/>
      <c r="E1020"/>
      <c r="F1020" s="6"/>
      <c r="G1020"/>
    </row>
    <row r="1021" spans="3:7">
      <c r="C1021"/>
      <c r="D1021"/>
      <c r="E1021"/>
      <c r="F1021" s="6"/>
      <c r="G1021"/>
    </row>
    <row r="1022" spans="3:7">
      <c r="C1022"/>
      <c r="D1022"/>
      <c r="E1022"/>
      <c r="F1022" s="6"/>
      <c r="G1022"/>
    </row>
    <row r="1023" spans="3:7">
      <c r="C1023"/>
      <c r="D1023"/>
      <c r="E1023"/>
      <c r="F1023" s="6"/>
      <c r="G1023"/>
    </row>
    <row r="1024" spans="3:7">
      <c r="C1024"/>
      <c r="D1024"/>
      <c r="E1024"/>
      <c r="F1024" s="6"/>
      <c r="G1024"/>
    </row>
    <row r="1025" spans="3:7">
      <c r="C1025"/>
      <c r="D1025"/>
      <c r="E1025"/>
      <c r="F1025" s="6"/>
      <c r="G1025"/>
    </row>
    <row r="1026" spans="3:7">
      <c r="C1026"/>
      <c r="D1026"/>
      <c r="E1026"/>
      <c r="F1026" s="6"/>
      <c r="G1026"/>
    </row>
    <row r="1027" spans="3:7">
      <c r="C1027"/>
      <c r="D1027"/>
      <c r="E1027"/>
      <c r="F1027" s="6"/>
      <c r="G1027"/>
    </row>
    <row r="1028" spans="3:7">
      <c r="C1028"/>
      <c r="D1028"/>
      <c r="E1028"/>
      <c r="F1028" s="6"/>
      <c r="G1028"/>
    </row>
    <row r="1029" spans="3:7">
      <c r="C1029"/>
      <c r="D1029"/>
      <c r="E1029"/>
      <c r="F1029" s="6"/>
      <c r="G1029"/>
    </row>
    <row r="1030" spans="3:7">
      <c r="C1030"/>
      <c r="D1030"/>
      <c r="E1030"/>
      <c r="F1030" s="6"/>
      <c r="G1030"/>
    </row>
    <row r="1031" spans="3:7">
      <c r="C1031"/>
      <c r="D1031"/>
      <c r="E1031"/>
      <c r="F1031" s="6"/>
      <c r="G1031"/>
    </row>
    <row r="1032" spans="3:7">
      <c r="C1032"/>
      <c r="D1032"/>
      <c r="E1032"/>
      <c r="F1032" s="6"/>
      <c r="G1032"/>
    </row>
    <row r="1033" spans="3:7">
      <c r="C1033"/>
      <c r="D1033"/>
      <c r="E1033"/>
      <c r="F1033" s="6"/>
      <c r="G1033"/>
    </row>
    <row r="1034" spans="3:7">
      <c r="C1034"/>
      <c r="D1034"/>
      <c r="E1034"/>
      <c r="F1034" s="6"/>
      <c r="G1034"/>
    </row>
    <row r="1035" spans="3:7">
      <c r="C1035"/>
      <c r="D1035"/>
      <c r="E1035"/>
      <c r="F1035" s="6"/>
      <c r="G1035"/>
    </row>
    <row r="1036" spans="3:7">
      <c r="C1036"/>
      <c r="D1036"/>
      <c r="E1036"/>
      <c r="F1036" s="6"/>
      <c r="G1036"/>
    </row>
    <row r="1037" spans="3:7">
      <c r="C1037"/>
      <c r="D1037"/>
      <c r="E1037"/>
      <c r="F1037" s="6"/>
      <c r="G1037"/>
    </row>
    <row r="1038" spans="3:7">
      <c r="C1038"/>
      <c r="D1038"/>
      <c r="E1038"/>
      <c r="F1038" s="6"/>
      <c r="G1038"/>
    </row>
    <row r="1039" spans="3:7">
      <c r="C1039"/>
      <c r="D1039"/>
      <c r="E1039"/>
      <c r="F1039" s="6"/>
      <c r="G1039"/>
    </row>
    <row r="1040" spans="3:7">
      <c r="C1040"/>
      <c r="D1040"/>
      <c r="E1040"/>
      <c r="F1040" s="6"/>
      <c r="G1040"/>
    </row>
    <row r="1041" spans="3:7">
      <c r="C1041"/>
      <c r="D1041"/>
      <c r="E1041"/>
      <c r="F1041" s="6"/>
      <c r="G1041"/>
    </row>
    <row r="1042" spans="3:7">
      <c r="C1042"/>
      <c r="D1042"/>
      <c r="E1042"/>
      <c r="F1042" s="6"/>
      <c r="G1042"/>
    </row>
    <row r="1043" spans="3:7">
      <c r="C1043"/>
      <c r="D1043"/>
      <c r="E1043"/>
      <c r="F1043" s="6"/>
      <c r="G1043"/>
    </row>
    <row r="1044" spans="3:7">
      <c r="C1044"/>
      <c r="D1044"/>
      <c r="E1044"/>
      <c r="F1044" s="6"/>
      <c r="G1044"/>
    </row>
    <row r="1045" spans="3:7">
      <c r="C1045"/>
      <c r="D1045"/>
      <c r="E1045"/>
      <c r="F1045" s="6"/>
      <c r="G1045"/>
    </row>
    <row r="1046" spans="3:7">
      <c r="C1046"/>
      <c r="D1046"/>
      <c r="E1046"/>
      <c r="F1046" s="6"/>
      <c r="G1046"/>
    </row>
    <row r="1047" spans="3:7">
      <c r="C1047"/>
      <c r="D1047"/>
      <c r="E1047"/>
      <c r="F1047" s="6"/>
      <c r="G1047"/>
    </row>
    <row r="1048" spans="3:7">
      <c r="C1048"/>
      <c r="D1048"/>
      <c r="E1048"/>
      <c r="F1048" s="6"/>
      <c r="G1048"/>
    </row>
    <row r="1049" spans="3:7">
      <c r="C1049"/>
      <c r="D1049"/>
      <c r="E1049"/>
      <c r="F1049" s="6"/>
      <c r="G1049"/>
    </row>
    <row r="1050" spans="3:7">
      <c r="C1050"/>
      <c r="D1050"/>
      <c r="E1050"/>
      <c r="F1050" s="6"/>
      <c r="G1050"/>
    </row>
    <row r="1051" spans="3:7">
      <c r="C1051"/>
      <c r="D1051"/>
      <c r="E1051"/>
      <c r="F1051" s="6"/>
      <c r="G1051"/>
    </row>
    <row r="1052" spans="3:7">
      <c r="C1052"/>
      <c r="D1052"/>
      <c r="E1052"/>
      <c r="F1052" s="6"/>
      <c r="G1052"/>
    </row>
    <row r="1053" spans="3:7">
      <c r="C1053"/>
      <c r="D1053"/>
      <c r="E1053"/>
      <c r="F1053" s="6"/>
      <c r="G1053"/>
    </row>
    <row r="1054" spans="3:7">
      <c r="C1054"/>
      <c r="D1054"/>
      <c r="E1054"/>
      <c r="F1054" s="6"/>
      <c r="G1054"/>
    </row>
    <row r="1055" spans="3:7">
      <c r="C1055"/>
      <c r="D1055"/>
      <c r="E1055"/>
      <c r="F1055" s="6"/>
      <c r="G1055"/>
    </row>
    <row r="1056" spans="3:7">
      <c r="C1056"/>
      <c r="D1056"/>
      <c r="E1056"/>
      <c r="F1056" s="6"/>
      <c r="G1056"/>
    </row>
    <row r="1057" spans="3:7">
      <c r="C1057"/>
      <c r="D1057"/>
      <c r="E1057"/>
      <c r="F1057" s="6"/>
      <c r="G1057"/>
    </row>
    <row r="1058" spans="3:7">
      <c r="C1058"/>
      <c r="D1058"/>
      <c r="E1058"/>
      <c r="F1058" s="6"/>
      <c r="G1058"/>
    </row>
    <row r="1059" spans="3:7">
      <c r="C1059"/>
      <c r="D1059"/>
      <c r="E1059"/>
      <c r="F1059" s="6"/>
      <c r="G1059"/>
    </row>
    <row r="1060" spans="3:7">
      <c r="C1060"/>
      <c r="D1060"/>
      <c r="E1060"/>
      <c r="F1060" s="6"/>
      <c r="G1060"/>
    </row>
    <row r="1061" spans="3:7">
      <c r="C1061"/>
      <c r="D1061"/>
      <c r="E1061"/>
      <c r="F1061" s="6"/>
      <c r="G1061"/>
    </row>
    <row r="1062" spans="3:7">
      <c r="C1062"/>
      <c r="D1062"/>
      <c r="E1062"/>
      <c r="F1062" s="6"/>
      <c r="G1062"/>
    </row>
    <row r="1063" spans="3:7">
      <c r="C1063"/>
      <c r="D1063"/>
      <c r="E1063"/>
      <c r="F1063" s="6"/>
      <c r="G1063"/>
    </row>
    <row r="1064" spans="3:7">
      <c r="C1064"/>
      <c r="D1064"/>
      <c r="E1064"/>
      <c r="F1064" s="6"/>
      <c r="G1064"/>
    </row>
    <row r="1065" spans="3:7">
      <c r="C1065"/>
      <c r="D1065"/>
      <c r="E1065"/>
      <c r="F1065" s="6"/>
      <c r="G1065"/>
    </row>
    <row r="1066" spans="3:7">
      <c r="C1066"/>
      <c r="D1066"/>
      <c r="E1066"/>
      <c r="F1066" s="6"/>
      <c r="G1066"/>
    </row>
    <row r="1067" spans="3:7">
      <c r="C1067"/>
      <c r="D1067"/>
      <c r="E1067"/>
      <c r="F1067" s="6"/>
      <c r="G1067"/>
    </row>
    <row r="1068" spans="3:7">
      <c r="C1068"/>
      <c r="D1068"/>
      <c r="E1068"/>
      <c r="F1068" s="6"/>
      <c r="G1068"/>
    </row>
    <row r="1069" spans="3:7">
      <c r="C1069"/>
      <c r="D1069"/>
      <c r="E1069"/>
      <c r="F1069" s="6"/>
      <c r="G1069"/>
    </row>
    <row r="1070" spans="3:7">
      <c r="C1070"/>
      <c r="D1070"/>
      <c r="E1070"/>
      <c r="F1070" s="6"/>
      <c r="G1070"/>
    </row>
    <row r="1071" spans="3:7">
      <c r="C1071"/>
      <c r="D1071"/>
      <c r="E1071"/>
      <c r="F1071" s="6"/>
      <c r="G1071"/>
    </row>
    <row r="1072" spans="3:7">
      <c r="C1072"/>
      <c r="D1072"/>
      <c r="E1072"/>
      <c r="F1072" s="6"/>
      <c r="G1072"/>
    </row>
    <row r="1073" spans="3:7">
      <c r="C1073"/>
      <c r="D1073"/>
      <c r="E1073"/>
      <c r="F1073" s="6"/>
      <c r="G1073"/>
    </row>
    <row r="1074" spans="3:7">
      <c r="C1074"/>
      <c r="D1074"/>
      <c r="E1074"/>
      <c r="F1074" s="6"/>
      <c r="G1074"/>
    </row>
    <row r="1075" spans="3:7">
      <c r="C1075"/>
      <c r="D1075"/>
      <c r="E1075"/>
      <c r="F1075" s="6"/>
      <c r="G1075"/>
    </row>
    <row r="1076" spans="3:7">
      <c r="C1076"/>
      <c r="D1076"/>
      <c r="E1076"/>
      <c r="F1076" s="6"/>
      <c r="G1076"/>
    </row>
    <row r="1077" spans="3:7">
      <c r="C1077"/>
      <c r="D1077"/>
      <c r="E1077"/>
      <c r="F1077" s="6"/>
      <c r="G1077"/>
    </row>
    <row r="1078" spans="3:7">
      <c r="C1078"/>
      <c r="D1078"/>
      <c r="E1078"/>
      <c r="F1078" s="6"/>
      <c r="G1078"/>
    </row>
    <row r="1079" spans="3:7">
      <c r="C1079"/>
      <c r="D1079"/>
      <c r="E1079"/>
      <c r="F1079" s="6"/>
      <c r="G1079"/>
    </row>
    <row r="1080" spans="3:7">
      <c r="C1080"/>
      <c r="D1080"/>
      <c r="E1080"/>
      <c r="F1080" s="6"/>
      <c r="G1080"/>
    </row>
    <row r="1081" spans="3:7">
      <c r="C1081"/>
      <c r="D1081"/>
      <c r="E1081"/>
      <c r="F1081" s="6"/>
      <c r="G1081"/>
    </row>
    <row r="1082" spans="3:7">
      <c r="C1082"/>
      <c r="D1082"/>
      <c r="E1082"/>
      <c r="F1082" s="6"/>
      <c r="G1082"/>
    </row>
    <row r="1083" spans="3:7">
      <c r="C1083"/>
      <c r="D1083"/>
      <c r="E1083"/>
      <c r="F1083" s="6"/>
      <c r="G1083"/>
    </row>
    <row r="1084" spans="3:7">
      <c r="C1084"/>
      <c r="D1084"/>
      <c r="E1084"/>
      <c r="F1084" s="6"/>
      <c r="G1084"/>
    </row>
    <row r="1085" spans="3:7">
      <c r="C1085"/>
      <c r="D1085"/>
      <c r="E1085"/>
      <c r="F1085" s="6"/>
      <c r="G1085"/>
    </row>
    <row r="1086" spans="3:7">
      <c r="C1086"/>
      <c r="D1086"/>
      <c r="E1086"/>
      <c r="F1086" s="6"/>
      <c r="G1086"/>
    </row>
    <row r="1087" spans="3:7">
      <c r="C1087"/>
      <c r="D1087"/>
      <c r="E1087"/>
      <c r="F1087" s="6"/>
      <c r="G1087"/>
    </row>
    <row r="1088" spans="3:7">
      <c r="C1088"/>
      <c r="D1088"/>
      <c r="E1088"/>
      <c r="F1088" s="6"/>
      <c r="G1088"/>
    </row>
    <row r="1089" spans="3:7">
      <c r="C1089"/>
      <c r="D1089"/>
      <c r="E1089"/>
      <c r="F1089" s="6"/>
      <c r="G1089"/>
    </row>
    <row r="1090" spans="3:7">
      <c r="C1090"/>
      <c r="D1090"/>
      <c r="E1090"/>
      <c r="F1090" s="6"/>
      <c r="G1090"/>
    </row>
    <row r="1091" spans="3:7">
      <c r="C1091"/>
      <c r="D1091"/>
      <c r="E1091"/>
      <c r="F1091" s="6"/>
      <c r="G1091"/>
    </row>
    <row r="1092" spans="3:7">
      <c r="C1092"/>
      <c r="D1092"/>
      <c r="E1092"/>
      <c r="F1092" s="6"/>
      <c r="G1092"/>
    </row>
    <row r="1093" spans="3:7">
      <c r="C1093"/>
      <c r="D1093"/>
      <c r="E1093"/>
      <c r="F1093" s="6"/>
      <c r="G1093"/>
    </row>
    <row r="1094" spans="3:7">
      <c r="C1094"/>
      <c r="D1094"/>
      <c r="E1094"/>
      <c r="F1094" s="6"/>
      <c r="G1094"/>
    </row>
    <row r="1095" spans="3:7">
      <c r="C1095"/>
      <c r="D1095"/>
      <c r="E1095"/>
      <c r="F1095" s="6"/>
      <c r="G1095"/>
    </row>
    <row r="1096" spans="3:7">
      <c r="C1096"/>
      <c r="D1096"/>
      <c r="E1096"/>
      <c r="F1096" s="6"/>
      <c r="G1096"/>
    </row>
    <row r="1097" spans="3:7">
      <c r="C1097"/>
      <c r="D1097"/>
      <c r="E1097"/>
      <c r="F1097" s="6"/>
      <c r="G1097"/>
    </row>
    <row r="1098" spans="3:7">
      <c r="C1098"/>
      <c r="D1098"/>
      <c r="E1098"/>
      <c r="F1098" s="6"/>
      <c r="G1098"/>
    </row>
    <row r="1099" spans="3:7">
      <c r="C1099"/>
      <c r="D1099"/>
      <c r="E1099"/>
      <c r="F1099" s="6"/>
      <c r="G1099"/>
    </row>
    <row r="1100" spans="3:7">
      <c r="C1100"/>
      <c r="D1100"/>
      <c r="E1100"/>
      <c r="F1100" s="6"/>
      <c r="G1100"/>
    </row>
    <row r="1101" spans="3:7">
      <c r="C1101"/>
      <c r="D1101"/>
      <c r="E1101"/>
      <c r="F1101" s="6"/>
      <c r="G1101"/>
    </row>
    <row r="1102" spans="3:7">
      <c r="C1102"/>
      <c r="D1102"/>
      <c r="E1102"/>
      <c r="F1102" s="6"/>
      <c r="G1102"/>
    </row>
    <row r="1103" spans="3:7">
      <c r="C1103"/>
      <c r="D1103"/>
      <c r="E1103"/>
      <c r="F1103" s="6"/>
      <c r="G1103"/>
    </row>
    <row r="1104" spans="3:7">
      <c r="C1104"/>
      <c r="D1104"/>
      <c r="E1104"/>
      <c r="F1104" s="6"/>
      <c r="G1104"/>
    </row>
    <row r="1105" spans="3:7">
      <c r="C1105"/>
      <c r="D1105"/>
      <c r="E1105"/>
      <c r="F1105" s="6"/>
      <c r="G1105"/>
    </row>
    <row r="1106" spans="3:7">
      <c r="C1106"/>
      <c r="D1106"/>
      <c r="E1106"/>
      <c r="F1106" s="6"/>
      <c r="G1106"/>
    </row>
    <row r="1107" spans="3:7">
      <c r="C1107"/>
      <c r="D1107"/>
      <c r="E1107"/>
      <c r="F1107" s="6"/>
      <c r="G1107"/>
    </row>
    <row r="1108" spans="3:7">
      <c r="C1108"/>
      <c r="D1108"/>
      <c r="E1108"/>
      <c r="F1108" s="6"/>
      <c r="G1108"/>
    </row>
    <row r="1109" spans="3:7">
      <c r="C1109"/>
      <c r="D1109"/>
      <c r="E1109"/>
      <c r="F1109" s="6"/>
      <c r="G1109"/>
    </row>
    <row r="1110" spans="3:7">
      <c r="C1110"/>
      <c r="D1110"/>
      <c r="E1110"/>
      <c r="F1110" s="6"/>
      <c r="G1110"/>
    </row>
    <row r="1111" spans="3:7">
      <c r="C1111"/>
      <c r="D1111"/>
      <c r="E1111"/>
      <c r="F1111" s="6"/>
      <c r="G1111"/>
    </row>
    <row r="1112" spans="3:7">
      <c r="C1112"/>
      <c r="D1112"/>
      <c r="E1112"/>
      <c r="F1112" s="6"/>
      <c r="G1112"/>
    </row>
    <row r="1113" spans="3:7">
      <c r="C1113"/>
      <c r="D1113"/>
      <c r="E1113"/>
      <c r="F1113" s="6"/>
      <c r="G1113"/>
    </row>
    <row r="1114" spans="3:7">
      <c r="C1114"/>
      <c r="D1114"/>
      <c r="E1114"/>
      <c r="F1114" s="6"/>
      <c r="G1114"/>
    </row>
    <row r="1115" spans="3:7">
      <c r="C1115"/>
      <c r="D1115"/>
      <c r="E1115"/>
      <c r="F1115" s="6"/>
      <c r="G1115"/>
    </row>
    <row r="1116" spans="3:7">
      <c r="C1116"/>
      <c r="D1116"/>
      <c r="E1116"/>
      <c r="F1116" s="6"/>
      <c r="G1116"/>
    </row>
    <row r="1117" spans="3:7">
      <c r="C1117"/>
      <c r="D1117"/>
      <c r="E1117"/>
      <c r="F1117" s="6"/>
      <c r="G1117"/>
    </row>
    <row r="1118" spans="3:7">
      <c r="C1118"/>
      <c r="D1118"/>
      <c r="E1118"/>
      <c r="F1118" s="6"/>
      <c r="G1118"/>
    </row>
    <row r="1119" spans="3:7">
      <c r="C1119"/>
      <c r="D1119"/>
      <c r="E1119"/>
      <c r="F1119" s="6"/>
      <c r="G1119"/>
    </row>
    <row r="1120" spans="3:7">
      <c r="C1120"/>
      <c r="D1120"/>
      <c r="E1120"/>
      <c r="F1120" s="6"/>
      <c r="G1120"/>
    </row>
    <row r="1121" spans="3:7">
      <c r="C1121"/>
      <c r="D1121"/>
      <c r="E1121"/>
      <c r="F1121" s="6"/>
      <c r="G1121"/>
    </row>
    <row r="1122" spans="3:7">
      <c r="C1122"/>
      <c r="D1122"/>
      <c r="E1122"/>
      <c r="F1122" s="6"/>
      <c r="G1122"/>
    </row>
    <row r="1123" spans="3:7">
      <c r="C1123"/>
      <c r="D1123"/>
      <c r="E1123"/>
      <c r="F1123" s="6"/>
      <c r="G1123"/>
    </row>
    <row r="1124" spans="3:7">
      <c r="C1124"/>
      <c r="D1124"/>
      <c r="E1124"/>
      <c r="F1124" s="6"/>
      <c r="G1124"/>
    </row>
    <row r="1125" spans="3:7">
      <c r="C1125"/>
      <c r="D1125"/>
      <c r="E1125"/>
      <c r="F1125" s="6"/>
      <c r="G1125"/>
    </row>
    <row r="1126" spans="3:7">
      <c r="C1126"/>
      <c r="D1126"/>
      <c r="E1126"/>
      <c r="F1126" s="6"/>
      <c r="G1126"/>
    </row>
    <row r="1127" spans="3:7">
      <c r="C1127"/>
      <c r="D1127"/>
      <c r="E1127"/>
      <c r="F1127" s="6"/>
      <c r="G1127"/>
    </row>
    <row r="1128" spans="3:7">
      <c r="C1128"/>
      <c r="D1128"/>
      <c r="E1128"/>
      <c r="F1128" s="6"/>
      <c r="G1128"/>
    </row>
    <row r="1129" spans="3:7">
      <c r="C1129"/>
      <c r="D1129"/>
      <c r="E1129"/>
      <c r="F1129" s="6"/>
      <c r="G1129"/>
    </row>
    <row r="1130" spans="3:7">
      <c r="C1130"/>
      <c r="D1130"/>
      <c r="E1130"/>
      <c r="F1130" s="6"/>
      <c r="G1130"/>
    </row>
    <row r="1131" spans="3:7">
      <c r="C1131"/>
      <c r="D1131"/>
      <c r="E1131"/>
      <c r="F1131" s="6"/>
      <c r="G1131"/>
    </row>
    <row r="1132" spans="3:7">
      <c r="C1132"/>
      <c r="D1132"/>
      <c r="E1132"/>
      <c r="F1132" s="6"/>
      <c r="G1132"/>
    </row>
    <row r="1133" spans="3:7">
      <c r="C1133"/>
      <c r="D1133"/>
      <c r="E1133"/>
      <c r="F1133" s="6"/>
      <c r="G1133"/>
    </row>
    <row r="1134" spans="3:7">
      <c r="C1134"/>
      <c r="D1134"/>
      <c r="E1134"/>
      <c r="F1134" s="6"/>
      <c r="G1134"/>
    </row>
    <row r="1135" spans="3:7">
      <c r="C1135"/>
      <c r="D1135"/>
      <c r="E1135"/>
      <c r="F1135" s="6"/>
      <c r="G1135"/>
    </row>
    <row r="1136" spans="3:7">
      <c r="C1136"/>
      <c r="D1136"/>
      <c r="E1136"/>
      <c r="F1136" s="6"/>
      <c r="G1136"/>
    </row>
    <row r="1137" spans="3:7">
      <c r="C1137"/>
      <c r="D1137"/>
      <c r="E1137"/>
      <c r="F1137" s="6"/>
      <c r="G1137"/>
    </row>
    <row r="1138" spans="3:7">
      <c r="C1138"/>
      <c r="D1138"/>
      <c r="E1138"/>
      <c r="F1138" s="6"/>
      <c r="G1138"/>
    </row>
    <row r="1139" spans="3:7">
      <c r="C1139"/>
      <c r="D1139"/>
      <c r="E1139"/>
      <c r="F1139" s="6"/>
      <c r="G1139"/>
    </row>
    <row r="1140" spans="3:7">
      <c r="C1140"/>
      <c r="D1140"/>
      <c r="E1140"/>
      <c r="F1140" s="6"/>
      <c r="G1140"/>
    </row>
    <row r="1141" spans="3:7">
      <c r="C1141"/>
      <c r="D1141"/>
      <c r="E1141"/>
      <c r="F1141" s="6"/>
      <c r="G1141"/>
    </row>
    <row r="1142" spans="3:7">
      <c r="C1142"/>
      <c r="D1142"/>
      <c r="E1142"/>
      <c r="F1142" s="6"/>
      <c r="G1142"/>
    </row>
    <row r="1143" spans="3:7">
      <c r="C1143"/>
      <c r="D1143"/>
      <c r="E1143"/>
      <c r="F1143" s="6"/>
      <c r="G1143"/>
    </row>
    <row r="1144" spans="3:7">
      <c r="C1144"/>
      <c r="D1144"/>
      <c r="E1144"/>
      <c r="F1144" s="6"/>
      <c r="G1144"/>
    </row>
    <row r="1145" spans="3:7">
      <c r="C1145"/>
      <c r="D1145"/>
      <c r="E1145"/>
      <c r="F1145" s="6"/>
      <c r="G1145"/>
    </row>
    <row r="1146" spans="3:7">
      <c r="C1146"/>
      <c r="D1146"/>
      <c r="E1146"/>
      <c r="F1146" s="6"/>
      <c r="G1146"/>
    </row>
    <row r="1147" spans="3:7">
      <c r="C1147"/>
      <c r="D1147"/>
      <c r="E1147"/>
      <c r="F1147" s="6"/>
      <c r="G1147"/>
    </row>
    <row r="1148" spans="3:7">
      <c r="C1148"/>
      <c r="D1148"/>
      <c r="E1148"/>
      <c r="F1148" s="6"/>
      <c r="G1148"/>
    </row>
    <row r="1149" spans="3:7">
      <c r="C1149"/>
      <c r="D1149"/>
      <c r="E1149"/>
      <c r="F1149" s="6"/>
      <c r="G1149"/>
    </row>
    <row r="1150" spans="3:7">
      <c r="C1150"/>
      <c r="D1150"/>
      <c r="E1150"/>
      <c r="F1150" s="6"/>
      <c r="G1150"/>
    </row>
    <row r="1151" spans="3:7">
      <c r="C1151"/>
      <c r="D1151"/>
      <c r="E1151"/>
      <c r="F1151" s="6"/>
      <c r="G1151"/>
    </row>
    <row r="1152" spans="3:7">
      <c r="C1152"/>
      <c r="D1152"/>
      <c r="E1152"/>
      <c r="F1152" s="6"/>
      <c r="G1152"/>
    </row>
    <row r="1153" spans="3:7">
      <c r="C1153"/>
      <c r="D1153"/>
      <c r="E1153"/>
      <c r="F1153" s="6"/>
      <c r="G1153"/>
    </row>
    <row r="1154" spans="3:7">
      <c r="C1154"/>
      <c r="D1154"/>
      <c r="E1154"/>
      <c r="F1154" s="6"/>
      <c r="G1154"/>
    </row>
    <row r="1155" spans="3:7">
      <c r="C1155"/>
      <c r="D1155"/>
      <c r="E1155"/>
      <c r="F1155" s="6"/>
      <c r="G1155"/>
    </row>
    <row r="1156" spans="3:7">
      <c r="C1156"/>
      <c r="D1156"/>
      <c r="E1156"/>
      <c r="F1156" s="6"/>
      <c r="G1156"/>
    </row>
    <row r="1157" spans="3:7">
      <c r="C1157"/>
      <c r="D1157"/>
      <c r="E1157"/>
      <c r="F1157" s="6"/>
      <c r="G1157"/>
    </row>
    <row r="1158" spans="3:7">
      <c r="C1158"/>
      <c r="D1158"/>
      <c r="E1158"/>
      <c r="F1158" s="6"/>
      <c r="G1158"/>
    </row>
    <row r="1159" spans="3:7">
      <c r="C1159"/>
      <c r="D1159"/>
      <c r="E1159"/>
      <c r="F1159" s="6"/>
      <c r="G1159"/>
    </row>
    <row r="1160" spans="3:7">
      <c r="C1160"/>
      <c r="D1160"/>
      <c r="E1160"/>
      <c r="F1160" s="6"/>
      <c r="G1160"/>
    </row>
    <row r="1161" spans="3:7">
      <c r="C1161"/>
      <c r="D1161"/>
      <c r="E1161"/>
      <c r="F1161" s="6"/>
      <c r="G1161"/>
    </row>
    <row r="1162" spans="3:7">
      <c r="C1162"/>
      <c r="D1162"/>
      <c r="E1162"/>
      <c r="F1162" s="6"/>
      <c r="G1162"/>
    </row>
    <row r="1163" spans="3:7">
      <c r="C1163"/>
      <c r="D1163"/>
      <c r="E1163"/>
      <c r="F1163" s="6"/>
      <c r="G1163"/>
    </row>
    <row r="1164" spans="3:7">
      <c r="C1164"/>
      <c r="D1164"/>
      <c r="E1164"/>
      <c r="F1164" s="6"/>
      <c r="G1164"/>
    </row>
    <row r="1165" spans="3:7">
      <c r="C1165"/>
      <c r="D1165"/>
      <c r="E1165"/>
      <c r="F1165" s="6"/>
      <c r="G1165"/>
    </row>
    <row r="1166" spans="3:7">
      <c r="C1166"/>
      <c r="D1166"/>
      <c r="E1166"/>
      <c r="F1166" s="6"/>
      <c r="G1166"/>
    </row>
    <row r="1167" spans="3:7">
      <c r="C1167"/>
      <c r="D1167"/>
      <c r="E1167"/>
      <c r="F1167" s="6"/>
      <c r="G1167"/>
    </row>
    <row r="1168" spans="3:7">
      <c r="C1168"/>
      <c r="D1168"/>
      <c r="E1168"/>
      <c r="F1168" s="6"/>
      <c r="G1168"/>
    </row>
    <row r="1169" spans="3:7">
      <c r="C1169"/>
      <c r="D1169"/>
      <c r="E1169"/>
      <c r="F1169" s="6"/>
      <c r="G1169"/>
    </row>
    <row r="1170" spans="3:7">
      <c r="C1170"/>
      <c r="D1170"/>
      <c r="E1170"/>
      <c r="F1170" s="6"/>
      <c r="G1170"/>
    </row>
    <row r="1171" spans="3:7">
      <c r="C1171"/>
      <c r="D1171"/>
      <c r="E1171"/>
      <c r="F1171" s="6"/>
      <c r="G1171"/>
    </row>
    <row r="1172" spans="3:7">
      <c r="C1172"/>
      <c r="D1172"/>
      <c r="E1172"/>
      <c r="F1172" s="6"/>
      <c r="G1172"/>
    </row>
    <row r="1173" spans="3:7">
      <c r="C1173"/>
      <c r="D1173"/>
      <c r="E1173"/>
      <c r="F1173" s="6"/>
      <c r="G1173"/>
    </row>
    <row r="1174" spans="3:7">
      <c r="C1174"/>
      <c r="D1174"/>
      <c r="E1174"/>
      <c r="F1174" s="6"/>
      <c r="G1174"/>
    </row>
    <row r="1175" spans="3:7">
      <c r="C1175"/>
      <c r="D1175"/>
      <c r="E1175"/>
      <c r="F1175" s="6"/>
      <c r="G1175"/>
    </row>
    <row r="1176" spans="3:7">
      <c r="C1176"/>
      <c r="D1176"/>
      <c r="E1176"/>
      <c r="F1176" s="6"/>
      <c r="G1176"/>
    </row>
    <row r="1177" spans="3:7">
      <c r="C1177"/>
      <c r="D1177"/>
      <c r="E1177"/>
      <c r="F1177" s="6"/>
      <c r="G1177"/>
    </row>
    <row r="1178" spans="3:7">
      <c r="C1178"/>
      <c r="D1178"/>
      <c r="E1178"/>
      <c r="F1178" s="6"/>
      <c r="G1178"/>
    </row>
    <row r="1179" spans="3:7">
      <c r="C1179"/>
      <c r="D1179"/>
      <c r="E1179"/>
      <c r="F1179" s="6"/>
      <c r="G1179"/>
    </row>
    <row r="1180" spans="3:7">
      <c r="C1180"/>
      <c r="D1180"/>
      <c r="E1180"/>
      <c r="F1180" s="6"/>
      <c r="G1180"/>
    </row>
    <row r="1181" spans="3:7">
      <c r="C1181"/>
      <c r="D1181"/>
      <c r="E1181"/>
      <c r="F1181" s="6"/>
      <c r="G1181"/>
    </row>
    <row r="1182" spans="3:7">
      <c r="C1182"/>
      <c r="D1182"/>
      <c r="E1182"/>
      <c r="F1182" s="6"/>
      <c r="G1182"/>
    </row>
    <row r="1183" spans="3:7">
      <c r="C1183"/>
      <c r="D1183"/>
      <c r="E1183"/>
      <c r="F1183" s="6"/>
      <c r="G1183"/>
    </row>
    <row r="1184" spans="3:7">
      <c r="C1184"/>
      <c r="D1184"/>
      <c r="E1184"/>
      <c r="F1184" s="6"/>
      <c r="G1184"/>
    </row>
    <row r="1185" spans="3:7">
      <c r="C1185"/>
      <c r="D1185"/>
      <c r="E1185"/>
      <c r="F1185" s="6"/>
      <c r="G1185"/>
    </row>
    <row r="1186" spans="3:7">
      <c r="C1186"/>
      <c r="D1186"/>
      <c r="E1186"/>
      <c r="F1186" s="6"/>
      <c r="G1186"/>
    </row>
    <row r="1187" spans="3:7">
      <c r="C1187"/>
      <c r="D1187"/>
      <c r="E1187"/>
      <c r="F1187" s="6"/>
      <c r="G1187"/>
    </row>
    <row r="1188" spans="3:7">
      <c r="C1188"/>
      <c r="D1188"/>
      <c r="E1188"/>
      <c r="F1188" s="6"/>
      <c r="G1188"/>
    </row>
    <row r="1189" spans="3:7">
      <c r="C1189"/>
      <c r="D1189"/>
      <c r="E1189"/>
      <c r="F1189" s="6"/>
      <c r="G1189"/>
    </row>
    <row r="1190" spans="3:7">
      <c r="C1190"/>
      <c r="D1190"/>
      <c r="E1190"/>
      <c r="F1190" s="6"/>
      <c r="G1190"/>
    </row>
    <row r="1191" spans="3:7">
      <c r="C1191"/>
      <c r="D1191"/>
      <c r="E1191"/>
      <c r="F1191" s="6"/>
      <c r="G1191"/>
    </row>
    <row r="1192" spans="3:7">
      <c r="C1192"/>
      <c r="D1192"/>
      <c r="E1192"/>
      <c r="F1192" s="6"/>
      <c r="G1192"/>
    </row>
    <row r="1193" spans="3:7">
      <c r="C1193"/>
      <c r="D1193"/>
      <c r="E1193"/>
      <c r="F1193" s="6"/>
      <c r="G1193"/>
    </row>
    <row r="1194" spans="3:7">
      <c r="C1194"/>
      <c r="D1194"/>
      <c r="E1194"/>
      <c r="F1194" s="6"/>
      <c r="G1194"/>
    </row>
    <row r="1195" spans="3:7">
      <c r="C1195"/>
      <c r="D1195"/>
      <c r="E1195"/>
      <c r="F1195" s="6"/>
      <c r="G1195"/>
    </row>
    <row r="1196" spans="3:7">
      <c r="C1196"/>
      <c r="D1196"/>
      <c r="E1196"/>
      <c r="F1196" s="6"/>
      <c r="G1196"/>
    </row>
    <row r="1197" spans="3:7">
      <c r="C1197"/>
      <c r="D1197"/>
      <c r="E1197"/>
      <c r="F1197" s="6"/>
      <c r="G1197"/>
    </row>
    <row r="1198" spans="3:7">
      <c r="C1198"/>
      <c r="D1198"/>
      <c r="E1198"/>
      <c r="F1198" s="6"/>
      <c r="G1198"/>
    </row>
    <row r="1199" spans="3:7">
      <c r="C1199"/>
      <c r="D1199"/>
      <c r="E1199"/>
      <c r="F1199" s="6"/>
      <c r="G1199"/>
    </row>
    <row r="1200" spans="3:7">
      <c r="C1200"/>
      <c r="D1200"/>
      <c r="E1200"/>
      <c r="F1200" s="6"/>
      <c r="G1200"/>
    </row>
    <row r="1201" spans="3:7">
      <c r="C1201"/>
      <c r="D1201"/>
      <c r="E1201"/>
      <c r="F1201" s="6"/>
      <c r="G1201"/>
    </row>
    <row r="1202" spans="3:7">
      <c r="C1202"/>
      <c r="D1202"/>
      <c r="E1202"/>
      <c r="F1202" s="6"/>
      <c r="G1202"/>
    </row>
    <row r="1203" spans="3:7">
      <c r="C1203"/>
      <c r="D1203"/>
      <c r="E1203"/>
      <c r="F1203" s="6"/>
      <c r="G1203"/>
    </row>
    <row r="1204" spans="3:7">
      <c r="C1204"/>
      <c r="D1204"/>
      <c r="E1204"/>
      <c r="F1204" s="6"/>
      <c r="G1204"/>
    </row>
    <row r="1205" spans="3:7">
      <c r="C1205"/>
      <c r="D1205"/>
      <c r="E1205"/>
      <c r="F1205" s="6"/>
      <c r="G1205"/>
    </row>
    <row r="1206" spans="3:7">
      <c r="C1206"/>
      <c r="D1206"/>
      <c r="E1206"/>
      <c r="F1206" s="6"/>
      <c r="G1206"/>
    </row>
    <row r="1207" spans="3:7">
      <c r="C1207"/>
      <c r="D1207"/>
      <c r="E1207"/>
      <c r="F1207" s="6"/>
      <c r="G1207"/>
    </row>
    <row r="1208" spans="3:7">
      <c r="C1208"/>
      <c r="D1208"/>
      <c r="E1208"/>
      <c r="F1208" s="6"/>
      <c r="G1208"/>
    </row>
    <row r="1209" spans="3:7">
      <c r="C1209"/>
      <c r="D1209"/>
      <c r="E1209"/>
      <c r="F1209" s="6"/>
      <c r="G1209"/>
    </row>
    <row r="1210" spans="3:7">
      <c r="C1210"/>
      <c r="D1210"/>
      <c r="E1210"/>
      <c r="F1210" s="6"/>
      <c r="G1210"/>
    </row>
    <row r="1211" spans="3:7">
      <c r="C1211"/>
      <c r="D1211"/>
      <c r="E1211"/>
      <c r="F1211" s="6"/>
      <c r="G1211"/>
    </row>
    <row r="1212" spans="3:7">
      <c r="C1212"/>
      <c r="D1212"/>
      <c r="E1212"/>
      <c r="F1212" s="6"/>
      <c r="G1212"/>
    </row>
    <row r="1213" spans="3:7">
      <c r="C1213"/>
      <c r="D1213"/>
      <c r="E1213"/>
      <c r="F1213" s="6"/>
      <c r="G1213"/>
    </row>
    <row r="1214" spans="3:7">
      <c r="C1214"/>
      <c r="D1214"/>
      <c r="E1214"/>
      <c r="F1214" s="6"/>
      <c r="G1214"/>
    </row>
    <row r="1215" spans="3:7">
      <c r="C1215"/>
      <c r="D1215"/>
      <c r="E1215"/>
      <c r="F1215" s="6"/>
      <c r="G1215"/>
    </row>
    <row r="1216" spans="3:7">
      <c r="C1216"/>
      <c r="D1216"/>
      <c r="E1216"/>
      <c r="F1216" s="6"/>
      <c r="G1216"/>
    </row>
    <row r="1217" spans="3:7">
      <c r="C1217"/>
      <c r="D1217"/>
      <c r="E1217"/>
      <c r="F1217" s="6"/>
      <c r="G1217"/>
    </row>
    <row r="1218" spans="3:7">
      <c r="C1218"/>
      <c r="D1218"/>
      <c r="E1218"/>
      <c r="F1218" s="6"/>
      <c r="G1218"/>
    </row>
    <row r="1219" spans="3:7">
      <c r="C1219"/>
      <c r="D1219"/>
      <c r="E1219"/>
      <c r="F1219" s="6"/>
      <c r="G1219"/>
    </row>
    <row r="1220" spans="3:7">
      <c r="C1220"/>
      <c r="D1220"/>
      <c r="E1220"/>
      <c r="F1220" s="6"/>
      <c r="G1220"/>
    </row>
    <row r="1221" spans="3:7">
      <c r="C1221"/>
      <c r="D1221"/>
      <c r="E1221"/>
      <c r="F1221" s="6"/>
      <c r="G1221"/>
    </row>
    <row r="1222" spans="3:7">
      <c r="C1222"/>
      <c r="D1222"/>
      <c r="E1222"/>
      <c r="F1222" s="6"/>
      <c r="G1222"/>
    </row>
    <row r="1223" spans="3:7">
      <c r="C1223"/>
      <c r="D1223"/>
      <c r="E1223"/>
      <c r="F1223" s="6"/>
      <c r="G1223"/>
    </row>
    <row r="1224" spans="3:7">
      <c r="C1224"/>
      <c r="D1224"/>
      <c r="E1224"/>
      <c r="F1224" s="6"/>
      <c r="G1224"/>
    </row>
    <row r="1225" spans="3:7">
      <c r="C1225"/>
      <c r="D1225"/>
      <c r="E1225"/>
      <c r="F1225" s="6"/>
      <c r="G1225"/>
    </row>
    <row r="1226" spans="3:7">
      <c r="C1226"/>
      <c r="D1226"/>
      <c r="E1226"/>
      <c r="F1226" s="6"/>
      <c r="G1226"/>
    </row>
    <row r="1227" spans="3:7">
      <c r="C1227"/>
      <c r="D1227"/>
      <c r="E1227"/>
      <c r="F1227" s="6"/>
      <c r="G1227"/>
    </row>
    <row r="1228" spans="3:7">
      <c r="C1228"/>
      <c r="D1228"/>
      <c r="E1228"/>
      <c r="F1228" s="6"/>
      <c r="G1228"/>
    </row>
    <row r="1229" spans="3:7">
      <c r="C1229"/>
      <c r="D1229"/>
      <c r="E1229"/>
      <c r="F1229" s="6"/>
      <c r="G1229"/>
    </row>
    <row r="1230" spans="3:7">
      <c r="C1230"/>
      <c r="D1230"/>
      <c r="E1230"/>
      <c r="F1230" s="6"/>
      <c r="G1230"/>
    </row>
    <row r="1231" spans="3:7">
      <c r="C1231"/>
      <c r="D1231"/>
      <c r="E1231"/>
      <c r="F1231" s="6"/>
      <c r="G1231"/>
    </row>
    <row r="1232" spans="3:7">
      <c r="C1232"/>
      <c r="D1232"/>
      <c r="E1232"/>
      <c r="F1232" s="6"/>
      <c r="G1232"/>
    </row>
    <row r="1233" spans="3:7">
      <c r="C1233"/>
      <c r="D1233"/>
      <c r="E1233"/>
      <c r="F1233" s="6"/>
      <c r="G1233"/>
    </row>
    <row r="1234" spans="3:7">
      <c r="C1234"/>
      <c r="D1234"/>
      <c r="E1234"/>
      <c r="F1234" s="6"/>
      <c r="G1234"/>
    </row>
    <row r="1235" spans="3:7">
      <c r="C1235"/>
      <c r="D1235"/>
      <c r="E1235"/>
      <c r="F1235" s="6"/>
      <c r="G1235"/>
    </row>
    <row r="1236" spans="3:7">
      <c r="C1236"/>
      <c r="D1236"/>
      <c r="E1236"/>
      <c r="F1236" s="6"/>
      <c r="G1236"/>
    </row>
    <row r="1237" spans="3:7">
      <c r="C1237"/>
      <c r="D1237"/>
      <c r="E1237"/>
      <c r="F1237" s="6"/>
      <c r="G1237"/>
    </row>
    <row r="1238" spans="3:7">
      <c r="C1238"/>
      <c r="D1238"/>
      <c r="E1238"/>
      <c r="F1238" s="6"/>
      <c r="G1238"/>
    </row>
    <row r="1239" spans="3:7">
      <c r="C1239"/>
      <c r="D1239"/>
      <c r="E1239"/>
      <c r="F1239" s="6"/>
      <c r="G1239"/>
    </row>
    <row r="1240" spans="3:7">
      <c r="C1240"/>
      <c r="D1240"/>
      <c r="E1240"/>
      <c r="F1240" s="6"/>
      <c r="G1240"/>
    </row>
    <row r="1241" spans="3:7">
      <c r="C1241"/>
      <c r="D1241"/>
      <c r="E1241"/>
      <c r="F1241" s="6"/>
      <c r="G1241"/>
    </row>
    <row r="1242" spans="3:7">
      <c r="C1242"/>
      <c r="D1242"/>
      <c r="E1242"/>
      <c r="F1242" s="6"/>
      <c r="G1242"/>
    </row>
    <row r="1243" spans="3:7">
      <c r="C1243"/>
      <c r="D1243"/>
      <c r="E1243"/>
      <c r="F1243" s="6"/>
      <c r="G1243"/>
    </row>
    <row r="1244" spans="3:7">
      <c r="C1244"/>
      <c r="D1244"/>
      <c r="E1244"/>
      <c r="F1244" s="6"/>
      <c r="G1244"/>
    </row>
    <row r="1245" spans="3:7">
      <c r="C1245"/>
      <c r="D1245"/>
      <c r="E1245"/>
      <c r="F1245" s="6"/>
      <c r="G1245"/>
    </row>
    <row r="1246" spans="3:7">
      <c r="C1246"/>
      <c r="D1246"/>
      <c r="E1246"/>
      <c r="F1246" s="6"/>
      <c r="G1246"/>
    </row>
    <row r="1247" spans="3:7">
      <c r="C1247"/>
      <c r="D1247"/>
      <c r="E1247"/>
      <c r="F1247" s="6"/>
      <c r="G1247"/>
    </row>
    <row r="1248" spans="3:7">
      <c r="C1248"/>
      <c r="D1248"/>
      <c r="E1248"/>
      <c r="F1248" s="6"/>
      <c r="G1248"/>
    </row>
    <row r="1249" spans="3:7">
      <c r="C1249"/>
      <c r="D1249"/>
      <c r="E1249"/>
      <c r="F1249" s="6"/>
      <c r="G1249"/>
    </row>
    <row r="1250" spans="3:7">
      <c r="C1250"/>
      <c r="D1250"/>
      <c r="E1250"/>
      <c r="F1250" s="6"/>
      <c r="G1250"/>
    </row>
    <row r="1251" spans="3:7">
      <c r="C1251"/>
      <c r="D1251"/>
      <c r="E1251"/>
      <c r="F1251" s="6"/>
      <c r="G1251"/>
    </row>
    <row r="1252" spans="3:7">
      <c r="C1252"/>
      <c r="D1252"/>
      <c r="E1252"/>
      <c r="F1252" s="6"/>
      <c r="G1252"/>
    </row>
    <row r="1253" spans="3:7">
      <c r="C1253"/>
      <c r="D1253"/>
      <c r="E1253"/>
      <c r="F1253" s="6"/>
      <c r="G1253"/>
    </row>
    <row r="1254" spans="3:7">
      <c r="C1254"/>
      <c r="D1254"/>
      <c r="E1254"/>
      <c r="F1254" s="6"/>
      <c r="G1254"/>
    </row>
    <row r="1255" spans="3:7">
      <c r="C1255"/>
      <c r="D1255"/>
      <c r="E1255"/>
      <c r="F1255" s="6"/>
      <c r="G1255"/>
    </row>
    <row r="1256" spans="3:7">
      <c r="C1256"/>
      <c r="D1256"/>
      <c r="E1256"/>
      <c r="F1256" s="6"/>
      <c r="G1256"/>
    </row>
    <row r="1257" spans="3:7">
      <c r="C1257"/>
      <c r="D1257"/>
      <c r="E1257"/>
      <c r="F1257" s="6"/>
      <c r="G1257"/>
    </row>
    <row r="1258" spans="3:7">
      <c r="C1258"/>
      <c r="D1258"/>
      <c r="E1258"/>
      <c r="F1258" s="6"/>
      <c r="G1258"/>
    </row>
    <row r="1259" spans="3:7">
      <c r="C1259"/>
      <c r="D1259"/>
      <c r="E1259"/>
      <c r="F1259" s="6"/>
      <c r="G1259"/>
    </row>
    <row r="1260" spans="3:7">
      <c r="C1260"/>
      <c r="D1260"/>
      <c r="E1260"/>
      <c r="F1260" s="6"/>
      <c r="G1260"/>
    </row>
    <row r="1261" spans="3:7">
      <c r="C1261"/>
      <c r="D1261"/>
      <c r="E1261"/>
      <c r="F1261" s="6"/>
      <c r="G1261"/>
    </row>
    <row r="1262" spans="3:7">
      <c r="C1262"/>
      <c r="D1262"/>
      <c r="E1262"/>
      <c r="F1262" s="6"/>
      <c r="G1262"/>
    </row>
    <row r="1263" spans="3:7">
      <c r="C1263"/>
      <c r="D1263"/>
      <c r="E1263"/>
      <c r="F1263" s="6"/>
      <c r="G1263"/>
    </row>
    <row r="1264" spans="3:7">
      <c r="C1264"/>
      <c r="D1264"/>
      <c r="E1264"/>
      <c r="F1264" s="6"/>
      <c r="G1264"/>
    </row>
    <row r="1265" spans="3:7">
      <c r="C1265"/>
      <c r="D1265"/>
      <c r="E1265"/>
      <c r="F1265" s="6"/>
      <c r="G1265"/>
    </row>
    <row r="1266" spans="3:7">
      <c r="C1266"/>
      <c r="D1266"/>
      <c r="E1266"/>
      <c r="F1266" s="6"/>
      <c r="G1266"/>
    </row>
    <row r="1267" spans="3:7">
      <c r="C1267"/>
      <c r="D1267"/>
      <c r="E1267"/>
      <c r="F1267" s="6"/>
      <c r="G1267"/>
    </row>
    <row r="1268" spans="3:7">
      <c r="C1268"/>
      <c r="D1268"/>
      <c r="E1268"/>
      <c r="F1268" s="6"/>
      <c r="G1268"/>
    </row>
    <row r="1269" spans="3:7">
      <c r="C1269"/>
      <c r="D1269"/>
      <c r="E1269"/>
      <c r="F1269" s="6"/>
      <c r="G1269"/>
    </row>
    <row r="1270" spans="3:7">
      <c r="C1270"/>
      <c r="D1270"/>
      <c r="E1270"/>
      <c r="F1270" s="6"/>
      <c r="G1270"/>
    </row>
    <row r="1271" spans="3:7">
      <c r="C1271"/>
      <c r="D1271"/>
      <c r="E1271"/>
      <c r="F1271" s="6"/>
      <c r="G1271"/>
    </row>
    <row r="1272" spans="3:7">
      <c r="C1272"/>
      <c r="D1272"/>
      <c r="E1272"/>
      <c r="F1272" s="6"/>
      <c r="G1272"/>
    </row>
    <row r="1273" spans="3:7">
      <c r="C1273"/>
      <c r="D1273"/>
      <c r="E1273"/>
      <c r="F1273" s="6"/>
      <c r="G1273"/>
    </row>
    <row r="1274" spans="3:7">
      <c r="C1274"/>
      <c r="D1274"/>
      <c r="E1274"/>
      <c r="F1274" s="6"/>
      <c r="G1274"/>
    </row>
    <row r="1275" spans="3:7">
      <c r="C1275"/>
      <c r="D1275"/>
      <c r="E1275"/>
      <c r="F1275" s="6"/>
      <c r="G1275"/>
    </row>
    <row r="1276" spans="3:7">
      <c r="C1276"/>
      <c r="D1276"/>
      <c r="E1276"/>
      <c r="F1276" s="6"/>
      <c r="G1276"/>
    </row>
    <row r="1277" spans="3:7">
      <c r="C1277"/>
      <c r="D1277"/>
      <c r="E1277"/>
      <c r="F1277" s="6"/>
      <c r="G1277"/>
    </row>
    <row r="1278" spans="3:7">
      <c r="C1278"/>
      <c r="D1278"/>
      <c r="E1278"/>
      <c r="F1278" s="6"/>
      <c r="G1278"/>
    </row>
    <row r="1279" spans="3:7">
      <c r="C1279"/>
      <c r="D1279"/>
      <c r="E1279"/>
      <c r="F1279" s="6"/>
      <c r="G1279"/>
    </row>
    <row r="1280" spans="3:7">
      <c r="C1280"/>
      <c r="D1280"/>
      <c r="E1280"/>
      <c r="F1280" s="6"/>
      <c r="G1280"/>
    </row>
    <row r="1281" spans="3:7">
      <c r="C1281"/>
      <c r="D1281"/>
      <c r="E1281"/>
      <c r="F1281" s="6"/>
      <c r="G1281"/>
    </row>
    <row r="1282" spans="3:7">
      <c r="C1282"/>
      <c r="D1282"/>
      <c r="E1282"/>
      <c r="F1282" s="6"/>
      <c r="G1282"/>
    </row>
    <row r="1283" spans="3:7">
      <c r="C1283"/>
      <c r="D1283"/>
      <c r="E1283"/>
      <c r="F1283" s="6"/>
      <c r="G1283"/>
    </row>
    <row r="1284" spans="3:7">
      <c r="C1284"/>
      <c r="D1284"/>
      <c r="E1284"/>
      <c r="F1284" s="6"/>
      <c r="G1284"/>
    </row>
    <row r="1285" spans="3:7">
      <c r="C1285"/>
      <c r="D1285"/>
      <c r="E1285"/>
      <c r="F1285" s="6"/>
      <c r="G1285"/>
    </row>
    <row r="1286" spans="3:7">
      <c r="C1286"/>
      <c r="D1286"/>
      <c r="E1286"/>
      <c r="F1286" s="6"/>
      <c r="G1286"/>
    </row>
    <row r="1287" spans="3:7">
      <c r="C1287"/>
      <c r="D1287"/>
      <c r="E1287"/>
      <c r="F1287" s="6"/>
      <c r="G1287"/>
    </row>
    <row r="1288" spans="3:7">
      <c r="C1288"/>
      <c r="D1288"/>
      <c r="E1288"/>
      <c r="F1288" s="6"/>
      <c r="G1288"/>
    </row>
    <row r="1289" spans="3:7">
      <c r="C1289"/>
      <c r="D1289"/>
      <c r="E1289"/>
      <c r="F1289" s="6"/>
      <c r="G1289"/>
    </row>
    <row r="1290" spans="3:7">
      <c r="C1290"/>
      <c r="D1290"/>
      <c r="E1290"/>
      <c r="F1290" s="6"/>
      <c r="G1290"/>
    </row>
    <row r="1291" spans="3:7">
      <c r="C1291"/>
      <c r="D1291"/>
      <c r="E1291"/>
      <c r="F1291" s="6"/>
      <c r="G1291"/>
    </row>
    <row r="1292" spans="3:7">
      <c r="C1292"/>
      <c r="D1292"/>
      <c r="E1292"/>
      <c r="F1292" s="6"/>
      <c r="G1292"/>
    </row>
    <row r="1293" spans="3:7">
      <c r="C1293"/>
      <c r="D1293"/>
      <c r="E1293"/>
      <c r="F1293" s="6"/>
      <c r="G1293"/>
    </row>
    <row r="1294" spans="3:7">
      <c r="C1294"/>
      <c r="D1294"/>
      <c r="E1294"/>
      <c r="F1294" s="6"/>
      <c r="G1294"/>
    </row>
    <row r="1295" spans="3:7">
      <c r="C1295"/>
      <c r="D1295"/>
      <c r="E1295"/>
      <c r="F1295" s="6"/>
      <c r="G1295"/>
    </row>
    <row r="1296" spans="3:7">
      <c r="C1296"/>
      <c r="D1296"/>
      <c r="E1296"/>
      <c r="F1296" s="6"/>
      <c r="G1296"/>
    </row>
    <row r="1297" spans="3:7">
      <c r="C1297"/>
      <c r="D1297"/>
      <c r="E1297"/>
      <c r="F1297" s="6"/>
      <c r="G1297"/>
    </row>
    <row r="1298" spans="3:7">
      <c r="C1298"/>
      <c r="D1298"/>
      <c r="E1298"/>
      <c r="F1298" s="6"/>
      <c r="G1298"/>
    </row>
    <row r="1299" spans="3:7">
      <c r="C1299"/>
      <c r="D1299"/>
      <c r="E1299"/>
      <c r="F1299" s="6"/>
      <c r="G1299"/>
    </row>
    <row r="1300" spans="3:7">
      <c r="C1300"/>
      <c r="D1300"/>
      <c r="E1300"/>
      <c r="F1300" s="6"/>
      <c r="G1300"/>
    </row>
    <row r="1301" spans="3:7">
      <c r="C1301"/>
      <c r="D1301"/>
      <c r="E1301"/>
      <c r="F1301" s="6"/>
      <c r="G1301"/>
    </row>
    <row r="1302" spans="3:7">
      <c r="C1302"/>
      <c r="D1302"/>
      <c r="E1302"/>
      <c r="F1302" s="6"/>
      <c r="G1302"/>
    </row>
    <row r="1303" spans="3:7">
      <c r="C1303"/>
      <c r="D1303"/>
      <c r="E1303"/>
      <c r="F1303" s="6"/>
      <c r="G1303"/>
    </row>
    <row r="1304" spans="3:7">
      <c r="C1304"/>
      <c r="D1304"/>
      <c r="E1304"/>
      <c r="F1304" s="6"/>
      <c r="G1304"/>
    </row>
    <row r="1305" spans="3:7">
      <c r="C1305"/>
      <c r="D1305"/>
      <c r="E1305"/>
      <c r="F1305" s="6"/>
      <c r="G1305"/>
    </row>
    <row r="1306" spans="3:7">
      <c r="C1306"/>
      <c r="D1306"/>
      <c r="E1306"/>
      <c r="F1306" s="6"/>
      <c r="G1306"/>
    </row>
    <row r="1307" spans="3:7">
      <c r="C1307"/>
      <c r="D1307"/>
      <c r="E1307"/>
      <c r="F1307" s="6"/>
      <c r="G1307"/>
    </row>
    <row r="1308" spans="3:7">
      <c r="C1308"/>
      <c r="D1308"/>
      <c r="E1308"/>
      <c r="F1308" s="6"/>
      <c r="G1308"/>
    </row>
    <row r="1309" spans="3:7">
      <c r="C1309"/>
      <c r="D1309"/>
      <c r="E1309"/>
      <c r="F1309" s="6"/>
      <c r="G1309"/>
    </row>
    <row r="1310" spans="3:7">
      <c r="C1310"/>
      <c r="D1310"/>
      <c r="E1310"/>
      <c r="F1310" s="6"/>
      <c r="G1310"/>
    </row>
    <row r="1311" spans="3:7">
      <c r="C1311"/>
      <c r="D1311"/>
      <c r="E1311"/>
      <c r="F1311" s="6"/>
      <c r="G1311"/>
    </row>
    <row r="1312" spans="3:7">
      <c r="C1312"/>
      <c r="D1312"/>
      <c r="E1312"/>
      <c r="F1312" s="6"/>
      <c r="G1312"/>
    </row>
    <row r="1313" spans="3:7">
      <c r="C1313"/>
      <c r="D1313"/>
      <c r="E1313"/>
      <c r="F1313" s="6"/>
      <c r="G1313"/>
    </row>
    <row r="1314" spans="3:7">
      <c r="C1314"/>
      <c r="D1314"/>
      <c r="E1314"/>
      <c r="F1314" s="6"/>
      <c r="G1314"/>
    </row>
    <row r="1315" spans="3:7">
      <c r="C1315"/>
      <c r="D1315"/>
      <c r="E1315"/>
      <c r="F1315" s="6"/>
      <c r="G1315"/>
    </row>
    <row r="1316" spans="3:7">
      <c r="C1316"/>
      <c r="D1316"/>
      <c r="E1316"/>
      <c r="F1316" s="6"/>
      <c r="G1316"/>
    </row>
    <row r="1317" spans="3:7">
      <c r="C1317"/>
      <c r="D1317"/>
      <c r="E1317"/>
      <c r="F1317" s="6"/>
      <c r="G1317"/>
    </row>
    <row r="1318" spans="3:7">
      <c r="C1318"/>
      <c r="D1318"/>
      <c r="E1318"/>
      <c r="F1318" s="6"/>
      <c r="G1318"/>
    </row>
    <row r="1319" spans="3:7">
      <c r="C1319"/>
      <c r="D1319"/>
      <c r="E1319"/>
      <c r="F1319" s="6"/>
      <c r="G1319"/>
    </row>
    <row r="1320" spans="3:7">
      <c r="C1320"/>
      <c r="D1320"/>
      <c r="E1320"/>
      <c r="F1320" s="6"/>
      <c r="G1320"/>
    </row>
    <row r="1321" spans="3:7">
      <c r="C1321"/>
      <c r="D1321"/>
      <c r="E1321"/>
      <c r="F1321" s="6"/>
      <c r="G1321"/>
    </row>
    <row r="1322" spans="3:7">
      <c r="C1322"/>
      <c r="D1322"/>
      <c r="E1322"/>
      <c r="F1322" s="6"/>
      <c r="G1322"/>
    </row>
    <row r="1323" spans="3:7">
      <c r="C1323"/>
      <c r="D1323"/>
      <c r="E1323"/>
      <c r="F1323" s="6"/>
      <c r="G1323"/>
    </row>
    <row r="1324" spans="3:7">
      <c r="C1324"/>
      <c r="D1324"/>
      <c r="E1324"/>
      <c r="F1324" s="6"/>
      <c r="G1324"/>
    </row>
    <row r="1325" spans="3:7">
      <c r="C1325"/>
      <c r="D1325"/>
      <c r="E1325"/>
      <c r="F1325" s="6"/>
      <c r="G1325"/>
    </row>
    <row r="1326" spans="3:7">
      <c r="C1326"/>
      <c r="D1326"/>
      <c r="E1326"/>
      <c r="F1326" s="6"/>
      <c r="G1326"/>
    </row>
    <row r="1327" spans="3:7">
      <c r="C1327"/>
      <c r="D1327"/>
      <c r="E1327"/>
      <c r="F1327" s="6"/>
      <c r="G1327"/>
    </row>
    <row r="1328" spans="3:7">
      <c r="C1328"/>
      <c r="D1328"/>
      <c r="E1328"/>
      <c r="F1328" s="6"/>
      <c r="G1328"/>
    </row>
    <row r="1329" spans="3:7">
      <c r="C1329"/>
      <c r="D1329"/>
      <c r="E1329"/>
      <c r="F1329" s="6"/>
      <c r="G1329"/>
    </row>
    <row r="1330" spans="3:7">
      <c r="C1330"/>
      <c r="D1330"/>
      <c r="E1330"/>
      <c r="F1330" s="6"/>
      <c r="G1330"/>
    </row>
    <row r="1331" spans="3:7">
      <c r="C1331"/>
      <c r="D1331"/>
      <c r="E1331"/>
      <c r="F1331" s="6"/>
      <c r="G1331"/>
    </row>
    <row r="1332" spans="3:7">
      <c r="C1332"/>
      <c r="D1332"/>
      <c r="E1332"/>
      <c r="F1332" s="6"/>
      <c r="G1332"/>
    </row>
    <row r="1333" spans="3:7">
      <c r="C1333"/>
      <c r="D1333"/>
      <c r="E1333"/>
      <c r="F1333" s="6"/>
      <c r="G1333"/>
    </row>
    <row r="1334" spans="3:7">
      <c r="C1334"/>
      <c r="D1334"/>
      <c r="E1334"/>
      <c r="F1334" s="6"/>
      <c r="G1334"/>
    </row>
    <row r="1335" spans="3:7">
      <c r="C1335"/>
      <c r="D1335"/>
      <c r="E1335"/>
      <c r="F1335" s="6"/>
      <c r="G1335"/>
    </row>
    <row r="1336" spans="3:7">
      <c r="C1336"/>
      <c r="D1336"/>
      <c r="E1336"/>
      <c r="F1336" s="6"/>
      <c r="G1336"/>
    </row>
    <row r="1337" spans="3:7">
      <c r="C1337"/>
      <c r="D1337"/>
      <c r="E1337"/>
      <c r="F1337" s="6"/>
      <c r="G1337"/>
    </row>
    <row r="1338" spans="3:7">
      <c r="C1338"/>
      <c r="D1338"/>
      <c r="E1338"/>
      <c r="F1338" s="6"/>
      <c r="G1338"/>
    </row>
    <row r="1339" spans="3:7">
      <c r="C1339"/>
      <c r="D1339"/>
      <c r="E1339"/>
      <c r="F1339" s="6"/>
      <c r="G1339"/>
    </row>
    <row r="1340" spans="3:7">
      <c r="C1340"/>
      <c r="D1340"/>
      <c r="E1340"/>
      <c r="F1340" s="6"/>
      <c r="G1340"/>
    </row>
    <row r="1341" spans="3:7">
      <c r="C1341"/>
      <c r="D1341"/>
      <c r="E1341"/>
      <c r="F1341" s="6"/>
      <c r="G1341"/>
    </row>
    <row r="1342" spans="3:7">
      <c r="C1342"/>
      <c r="D1342"/>
      <c r="E1342"/>
      <c r="F1342" s="6"/>
      <c r="G1342"/>
    </row>
    <row r="1343" spans="3:7">
      <c r="C1343"/>
      <c r="D1343"/>
      <c r="E1343"/>
      <c r="F1343" s="6"/>
      <c r="G1343"/>
    </row>
    <row r="1344" spans="3:7">
      <c r="C1344"/>
      <c r="D1344"/>
      <c r="E1344"/>
      <c r="F1344" s="6"/>
      <c r="G1344"/>
    </row>
    <row r="1345" spans="3:7">
      <c r="C1345"/>
      <c r="D1345"/>
      <c r="E1345"/>
      <c r="F1345" s="6"/>
      <c r="G1345"/>
    </row>
    <row r="1346" spans="3:7">
      <c r="C1346"/>
      <c r="D1346"/>
      <c r="E1346"/>
      <c r="F1346" s="6"/>
      <c r="G1346"/>
    </row>
    <row r="1347" spans="3:7">
      <c r="C1347"/>
      <c r="D1347"/>
      <c r="E1347"/>
      <c r="F1347" s="6"/>
      <c r="G1347"/>
    </row>
    <row r="1348" spans="3:7">
      <c r="C1348"/>
      <c r="D1348"/>
      <c r="E1348"/>
      <c r="F1348" s="6"/>
      <c r="G1348"/>
    </row>
    <row r="1349" spans="3:7">
      <c r="C1349"/>
      <c r="D1349"/>
      <c r="E1349"/>
      <c r="F1349" s="6"/>
      <c r="G1349"/>
    </row>
    <row r="1350" spans="3:7">
      <c r="C1350"/>
      <c r="D1350"/>
      <c r="E1350"/>
      <c r="F1350" s="6"/>
      <c r="G1350"/>
    </row>
    <row r="1351" spans="3:7">
      <c r="C1351"/>
      <c r="D1351"/>
      <c r="E1351"/>
      <c r="F1351" s="6"/>
      <c r="G1351"/>
    </row>
    <row r="1352" spans="3:7">
      <c r="C1352"/>
      <c r="D1352"/>
      <c r="E1352"/>
      <c r="F1352" s="6"/>
      <c r="G1352"/>
    </row>
    <row r="1353" spans="3:7">
      <c r="C1353"/>
      <c r="D1353"/>
      <c r="E1353"/>
      <c r="F1353" s="6"/>
      <c r="G1353"/>
    </row>
    <row r="1354" spans="3:7">
      <c r="C1354"/>
      <c r="D1354"/>
      <c r="E1354"/>
      <c r="F1354" s="6"/>
      <c r="G1354"/>
    </row>
    <row r="1355" spans="3:7">
      <c r="C1355"/>
      <c r="D1355"/>
      <c r="E1355"/>
      <c r="F1355" s="6"/>
      <c r="G1355"/>
    </row>
    <row r="1356" spans="3:7">
      <c r="C1356"/>
      <c r="D1356"/>
      <c r="E1356"/>
      <c r="F1356" s="6"/>
      <c r="G1356"/>
    </row>
    <row r="1357" spans="3:7">
      <c r="C1357"/>
      <c r="D1357"/>
      <c r="E1357"/>
      <c r="F1357" s="6"/>
      <c r="G1357"/>
    </row>
    <row r="1358" spans="3:7">
      <c r="C1358"/>
      <c r="D1358"/>
      <c r="E1358"/>
      <c r="F1358" s="6"/>
      <c r="G1358"/>
    </row>
    <row r="1359" spans="3:7">
      <c r="C1359"/>
      <c r="D1359"/>
      <c r="E1359"/>
      <c r="F1359" s="6"/>
      <c r="G1359"/>
    </row>
    <row r="1360" spans="3:7">
      <c r="C1360"/>
      <c r="D1360"/>
      <c r="E1360"/>
      <c r="F1360" s="6"/>
      <c r="G1360"/>
    </row>
    <row r="1361" spans="3:7">
      <c r="C1361"/>
      <c r="D1361"/>
      <c r="E1361"/>
      <c r="F1361" s="6"/>
      <c r="G1361"/>
    </row>
    <row r="1362" spans="3:7">
      <c r="C1362"/>
      <c r="D1362"/>
      <c r="E1362"/>
      <c r="F1362" s="6"/>
      <c r="G1362"/>
    </row>
    <row r="1363" spans="3:7">
      <c r="C1363"/>
      <c r="D1363"/>
      <c r="E1363"/>
      <c r="F1363" s="6"/>
      <c r="G1363"/>
    </row>
    <row r="1364" spans="3:7">
      <c r="C1364"/>
      <c r="D1364"/>
      <c r="E1364"/>
      <c r="F1364" s="6"/>
      <c r="G1364"/>
    </row>
    <row r="1365" spans="3:7">
      <c r="C1365"/>
      <c r="D1365"/>
      <c r="E1365"/>
      <c r="F1365" s="6"/>
      <c r="G1365"/>
    </row>
    <row r="1366" spans="3:7">
      <c r="C1366"/>
      <c r="D1366"/>
      <c r="E1366"/>
      <c r="F1366" s="6"/>
      <c r="G1366"/>
    </row>
    <row r="1367" spans="3:7">
      <c r="C1367"/>
      <c r="D1367"/>
      <c r="E1367"/>
      <c r="F1367" s="6"/>
      <c r="G1367"/>
    </row>
    <row r="1368" spans="3:7">
      <c r="C1368"/>
      <c r="D1368"/>
      <c r="E1368"/>
      <c r="F1368" s="6"/>
      <c r="G1368"/>
    </row>
    <row r="1369" spans="3:7">
      <c r="C1369"/>
      <c r="D1369"/>
      <c r="E1369"/>
      <c r="F1369" s="6"/>
      <c r="G1369"/>
    </row>
    <row r="1370" spans="3:7">
      <c r="C1370"/>
      <c r="D1370"/>
      <c r="E1370"/>
      <c r="F1370" s="6"/>
      <c r="G1370"/>
    </row>
    <row r="1371" spans="3:7">
      <c r="C1371"/>
      <c r="D1371"/>
      <c r="E1371"/>
      <c r="F1371" s="6"/>
      <c r="G1371"/>
    </row>
    <row r="1372" spans="3:7">
      <c r="C1372"/>
      <c r="D1372"/>
      <c r="E1372"/>
      <c r="F1372" s="6"/>
      <c r="G1372"/>
    </row>
    <row r="1373" spans="3:7">
      <c r="C1373"/>
      <c r="D1373"/>
      <c r="E1373"/>
      <c r="F1373" s="6"/>
      <c r="G1373"/>
    </row>
    <row r="1374" spans="3:7">
      <c r="C1374"/>
      <c r="D1374"/>
      <c r="E1374"/>
      <c r="F1374" s="6"/>
      <c r="G1374"/>
    </row>
    <row r="1375" spans="3:7">
      <c r="C1375"/>
      <c r="D1375"/>
      <c r="E1375"/>
      <c r="F1375" s="6"/>
      <c r="G1375"/>
    </row>
    <row r="1376" spans="3:7">
      <c r="C1376"/>
      <c r="D1376"/>
      <c r="E1376"/>
      <c r="F1376" s="6"/>
      <c r="G1376"/>
    </row>
    <row r="1377" spans="3:7">
      <c r="C1377"/>
      <c r="D1377"/>
      <c r="E1377"/>
      <c r="F1377" s="6"/>
      <c r="G1377"/>
    </row>
    <row r="1378" spans="3:7">
      <c r="C1378"/>
      <c r="D1378"/>
      <c r="E1378"/>
      <c r="F1378" s="6"/>
      <c r="G1378"/>
    </row>
    <row r="1379" spans="3:7">
      <c r="C1379"/>
      <c r="D1379"/>
      <c r="E1379"/>
      <c r="F1379" s="6"/>
      <c r="G1379"/>
    </row>
    <row r="1380" spans="3:7">
      <c r="C1380"/>
      <c r="D1380"/>
      <c r="E1380"/>
      <c r="F1380" s="6"/>
      <c r="G1380"/>
    </row>
    <row r="1381" spans="3:7">
      <c r="C1381"/>
      <c r="D1381"/>
      <c r="E1381"/>
      <c r="F1381" s="6"/>
      <c r="G1381"/>
    </row>
    <row r="1382" spans="3:7">
      <c r="C1382"/>
      <c r="D1382"/>
      <c r="E1382"/>
      <c r="F1382" s="6"/>
      <c r="G1382"/>
    </row>
    <row r="1383" spans="3:7">
      <c r="C1383"/>
      <c r="D1383"/>
      <c r="E1383"/>
      <c r="F1383" s="6"/>
      <c r="G1383"/>
    </row>
    <row r="1384" spans="3:7">
      <c r="C1384"/>
      <c r="D1384"/>
      <c r="E1384"/>
      <c r="F1384" s="6"/>
      <c r="G1384"/>
    </row>
    <row r="1385" spans="3:7">
      <c r="C1385"/>
      <c r="D1385"/>
      <c r="E1385"/>
      <c r="F1385" s="6"/>
      <c r="G1385"/>
    </row>
    <row r="1386" spans="3:7">
      <c r="C1386"/>
      <c r="D1386"/>
      <c r="E1386"/>
      <c r="F1386" s="6"/>
      <c r="G1386"/>
    </row>
    <row r="1387" spans="3:7">
      <c r="C1387"/>
      <c r="D1387"/>
      <c r="E1387"/>
      <c r="F1387" s="6"/>
      <c r="G1387"/>
    </row>
    <row r="1388" spans="3:7">
      <c r="C1388"/>
      <c r="D1388"/>
      <c r="E1388"/>
      <c r="F1388" s="6"/>
      <c r="G1388"/>
    </row>
    <row r="1389" spans="3:7">
      <c r="C1389"/>
      <c r="D1389"/>
      <c r="E1389"/>
      <c r="F1389" s="6"/>
      <c r="G1389"/>
    </row>
    <row r="1390" spans="3:7">
      <c r="C1390"/>
      <c r="D1390"/>
      <c r="E1390"/>
      <c r="F1390" s="6"/>
      <c r="G1390"/>
    </row>
    <row r="1391" spans="3:7">
      <c r="C1391"/>
      <c r="D1391"/>
      <c r="E1391"/>
      <c r="F1391" s="6"/>
      <c r="G1391"/>
    </row>
    <row r="1392" spans="3:7">
      <c r="C1392"/>
      <c r="D1392"/>
      <c r="E1392"/>
      <c r="F1392" s="6"/>
      <c r="G1392"/>
    </row>
    <row r="1393" spans="3:7">
      <c r="C1393"/>
      <c r="D1393"/>
      <c r="E1393"/>
      <c r="F1393" s="6"/>
      <c r="G1393"/>
    </row>
    <row r="1394" spans="3:7">
      <c r="C1394"/>
      <c r="D1394"/>
      <c r="E1394"/>
      <c r="F1394" s="6"/>
      <c r="G1394"/>
    </row>
    <row r="1395" spans="3:7">
      <c r="C1395"/>
      <c r="D1395"/>
      <c r="E1395"/>
      <c r="F1395" s="6"/>
      <c r="G1395"/>
    </row>
    <row r="1396" spans="3:7">
      <c r="C1396"/>
      <c r="D1396"/>
      <c r="E1396"/>
      <c r="F1396" s="6"/>
      <c r="G1396"/>
    </row>
    <row r="1397" spans="3:7">
      <c r="C1397"/>
      <c r="D1397"/>
      <c r="E1397"/>
      <c r="F1397" s="6"/>
      <c r="G1397"/>
    </row>
    <row r="1398" spans="3:7">
      <c r="C1398"/>
      <c r="D1398"/>
      <c r="E1398"/>
      <c r="F1398" s="6"/>
      <c r="G1398"/>
    </row>
    <row r="1399" spans="3:7">
      <c r="C1399"/>
      <c r="D1399"/>
      <c r="E1399"/>
      <c r="F1399" s="6"/>
      <c r="G1399"/>
    </row>
    <row r="1400" spans="3:7">
      <c r="C1400"/>
      <c r="D1400"/>
      <c r="E1400"/>
      <c r="F1400" s="6"/>
      <c r="G1400"/>
    </row>
    <row r="1401" spans="3:7">
      <c r="C1401"/>
      <c r="D1401"/>
      <c r="E1401"/>
      <c r="F1401" s="6"/>
      <c r="G1401"/>
    </row>
    <row r="1402" spans="3:7">
      <c r="C1402"/>
      <c r="D1402"/>
      <c r="E1402"/>
      <c r="F1402" s="6"/>
      <c r="G1402"/>
    </row>
    <row r="1403" spans="3:7">
      <c r="C1403"/>
      <c r="D1403"/>
      <c r="E1403"/>
      <c r="F1403" s="6"/>
      <c r="G1403"/>
    </row>
    <row r="1404" spans="3:7">
      <c r="C1404"/>
      <c r="D1404"/>
      <c r="E1404"/>
      <c r="F1404" s="6"/>
      <c r="G1404"/>
    </row>
    <row r="1405" spans="3:7">
      <c r="C1405"/>
      <c r="D1405"/>
      <c r="E1405"/>
      <c r="F1405" s="6"/>
      <c r="G1405"/>
    </row>
    <row r="1406" spans="3:7">
      <c r="C1406"/>
      <c r="D1406"/>
      <c r="E1406"/>
      <c r="F1406" s="6"/>
      <c r="G1406"/>
    </row>
    <row r="1407" spans="3:7">
      <c r="C1407"/>
      <c r="D1407"/>
      <c r="E1407"/>
      <c r="F1407" s="6"/>
      <c r="G1407"/>
    </row>
    <row r="1408" spans="3:7">
      <c r="C1408"/>
      <c r="D1408"/>
      <c r="E1408"/>
      <c r="F1408" s="6"/>
      <c r="G1408"/>
    </row>
    <row r="1409" spans="3:7">
      <c r="C1409"/>
      <c r="D1409"/>
      <c r="E1409"/>
      <c r="F1409" s="6"/>
      <c r="G1409"/>
    </row>
    <row r="1410" spans="3:7">
      <c r="C1410"/>
      <c r="D1410"/>
      <c r="E1410"/>
      <c r="F1410" s="6"/>
      <c r="G1410"/>
    </row>
    <row r="1411" spans="3:7">
      <c r="C1411"/>
      <c r="D1411"/>
      <c r="E1411"/>
      <c r="F1411" s="6"/>
      <c r="G1411"/>
    </row>
    <row r="1412" spans="3:7">
      <c r="C1412"/>
      <c r="D1412"/>
      <c r="E1412"/>
      <c r="F1412" s="6"/>
      <c r="G1412"/>
    </row>
    <row r="1413" spans="3:7">
      <c r="C1413"/>
      <c r="D1413"/>
      <c r="E1413"/>
      <c r="F1413" s="6"/>
      <c r="G1413"/>
    </row>
    <row r="1414" spans="3:7">
      <c r="C1414"/>
      <c r="D1414"/>
      <c r="E1414"/>
      <c r="F1414" s="6"/>
      <c r="G1414"/>
    </row>
    <row r="1415" spans="3:7">
      <c r="C1415"/>
      <c r="D1415"/>
      <c r="E1415"/>
      <c r="F1415" s="6"/>
      <c r="G1415"/>
    </row>
    <row r="1416" spans="3:7">
      <c r="C1416"/>
      <c r="D1416"/>
      <c r="E1416"/>
      <c r="F1416" s="6"/>
      <c r="G1416"/>
    </row>
    <row r="1417" spans="3:7">
      <c r="C1417"/>
      <c r="D1417"/>
      <c r="E1417"/>
      <c r="F1417" s="6"/>
      <c r="G1417"/>
    </row>
    <row r="1418" spans="3:7">
      <c r="C1418"/>
      <c r="D1418"/>
      <c r="E1418"/>
      <c r="F1418" s="6"/>
      <c r="G1418"/>
    </row>
    <row r="1419" spans="3:7">
      <c r="C1419"/>
      <c r="D1419"/>
      <c r="E1419"/>
      <c r="F1419" s="6"/>
      <c r="G1419"/>
    </row>
    <row r="1420" spans="3:7">
      <c r="C1420"/>
      <c r="D1420"/>
      <c r="E1420"/>
      <c r="F1420" s="6"/>
      <c r="G1420"/>
    </row>
    <row r="1421" spans="3:7">
      <c r="C1421"/>
      <c r="D1421"/>
      <c r="E1421"/>
      <c r="F1421" s="6"/>
      <c r="G1421"/>
    </row>
    <row r="1422" spans="3:7">
      <c r="C1422"/>
      <c r="D1422"/>
      <c r="E1422"/>
      <c r="F1422" s="6"/>
      <c r="G1422"/>
    </row>
    <row r="1423" spans="3:7">
      <c r="C1423"/>
      <c r="D1423"/>
      <c r="E1423"/>
      <c r="F1423" s="6"/>
      <c r="G1423"/>
    </row>
    <row r="1424" spans="3:7">
      <c r="C1424"/>
      <c r="D1424"/>
      <c r="E1424"/>
      <c r="F1424" s="6"/>
      <c r="G1424"/>
    </row>
    <row r="1425" spans="3:7">
      <c r="C1425"/>
      <c r="D1425"/>
      <c r="E1425"/>
      <c r="F1425" s="6"/>
      <c r="G1425"/>
    </row>
    <row r="1426" spans="3:7">
      <c r="C1426"/>
      <c r="D1426"/>
      <c r="E1426"/>
      <c r="F1426" s="6"/>
      <c r="G1426"/>
    </row>
    <row r="1427" spans="3:7">
      <c r="C1427"/>
      <c r="D1427"/>
      <c r="E1427"/>
      <c r="F1427" s="6"/>
      <c r="G1427"/>
    </row>
    <row r="1428" spans="3:7">
      <c r="C1428"/>
      <c r="D1428"/>
      <c r="E1428"/>
      <c r="F1428" s="6"/>
      <c r="G1428"/>
    </row>
    <row r="1429" spans="3:7">
      <c r="C1429"/>
      <c r="D1429"/>
      <c r="E1429"/>
      <c r="F1429" s="6"/>
      <c r="G1429"/>
    </row>
    <row r="1430" spans="3:7">
      <c r="C1430"/>
      <c r="D1430"/>
      <c r="E1430"/>
      <c r="F1430" s="6"/>
      <c r="G1430"/>
    </row>
    <row r="1431" spans="3:7">
      <c r="C1431"/>
      <c r="D1431"/>
      <c r="E1431"/>
      <c r="F1431" s="6"/>
      <c r="G1431"/>
    </row>
    <row r="1432" spans="3:7">
      <c r="C1432"/>
      <c r="D1432"/>
      <c r="E1432"/>
      <c r="F1432" s="6"/>
      <c r="G1432"/>
    </row>
    <row r="1433" spans="3:7">
      <c r="C1433"/>
      <c r="D1433"/>
      <c r="E1433"/>
      <c r="F1433" s="6"/>
      <c r="G1433"/>
    </row>
    <row r="1434" spans="3:7">
      <c r="C1434"/>
      <c r="D1434"/>
      <c r="E1434"/>
      <c r="F1434" s="6"/>
      <c r="G1434"/>
    </row>
    <row r="1435" spans="3:7">
      <c r="C1435"/>
      <c r="D1435"/>
      <c r="E1435"/>
      <c r="F1435" s="6"/>
      <c r="G1435"/>
    </row>
    <row r="1436" spans="3:7">
      <c r="C1436"/>
      <c r="D1436"/>
      <c r="E1436"/>
      <c r="F1436" s="6"/>
      <c r="G1436"/>
    </row>
    <row r="1437" spans="3:7">
      <c r="C1437"/>
      <c r="D1437"/>
      <c r="E1437"/>
      <c r="F1437" s="6"/>
      <c r="G1437"/>
    </row>
    <row r="1438" spans="3:7">
      <c r="C1438"/>
      <c r="D1438"/>
      <c r="E1438"/>
      <c r="F1438" s="6"/>
      <c r="G1438"/>
    </row>
    <row r="1439" spans="3:7">
      <c r="C1439"/>
      <c r="D1439"/>
      <c r="E1439"/>
      <c r="F1439" s="6"/>
      <c r="G1439"/>
    </row>
    <row r="1440" spans="3:7">
      <c r="C1440"/>
      <c r="D1440"/>
      <c r="E1440"/>
      <c r="F1440" s="6"/>
      <c r="G1440"/>
    </row>
    <row r="1441" spans="3:7">
      <c r="C1441"/>
      <c r="D1441"/>
      <c r="E1441"/>
      <c r="F1441" s="6"/>
      <c r="G1441"/>
    </row>
    <row r="1442" spans="3:7">
      <c r="C1442"/>
      <c r="D1442"/>
      <c r="E1442"/>
      <c r="F1442" s="6"/>
      <c r="G1442"/>
    </row>
    <row r="1443" spans="3:7">
      <c r="C1443"/>
      <c r="D1443"/>
      <c r="E1443"/>
      <c r="F1443" s="6"/>
      <c r="G1443"/>
    </row>
    <row r="1444" spans="3:7">
      <c r="C1444"/>
      <c r="D1444"/>
      <c r="E1444"/>
      <c r="F1444" s="6"/>
      <c r="G1444"/>
    </row>
    <row r="1445" spans="3:7">
      <c r="C1445"/>
      <c r="D1445"/>
      <c r="E1445"/>
      <c r="F1445" s="6"/>
      <c r="G1445"/>
    </row>
    <row r="1446" spans="3:7">
      <c r="C1446"/>
      <c r="D1446"/>
      <c r="E1446"/>
      <c r="F1446" s="6"/>
      <c r="G1446"/>
    </row>
    <row r="1447" spans="3:7">
      <c r="C1447"/>
      <c r="D1447"/>
      <c r="E1447"/>
      <c r="F1447" s="6"/>
      <c r="G1447"/>
    </row>
    <row r="1448" spans="3:7">
      <c r="C1448"/>
      <c r="D1448"/>
      <c r="E1448"/>
      <c r="F1448" s="6"/>
      <c r="G1448"/>
    </row>
    <row r="1449" spans="3:7">
      <c r="C1449"/>
      <c r="D1449"/>
      <c r="E1449"/>
      <c r="F1449" s="6"/>
      <c r="G1449"/>
    </row>
    <row r="1450" spans="3:7">
      <c r="C1450"/>
      <c r="D1450"/>
      <c r="E1450"/>
      <c r="F1450" s="6"/>
      <c r="G1450"/>
    </row>
    <row r="1451" spans="3:7">
      <c r="C1451"/>
      <c r="D1451"/>
      <c r="E1451"/>
      <c r="F1451" s="6"/>
      <c r="G1451"/>
    </row>
    <row r="1452" spans="3:7">
      <c r="C1452"/>
      <c r="D1452"/>
      <c r="E1452"/>
      <c r="F1452" s="6"/>
      <c r="G1452"/>
    </row>
    <row r="1453" spans="3:7">
      <c r="C1453"/>
      <c r="D1453"/>
      <c r="E1453"/>
      <c r="F1453" s="6"/>
      <c r="G1453"/>
    </row>
    <row r="1454" spans="3:7">
      <c r="C1454"/>
      <c r="D1454"/>
      <c r="E1454"/>
      <c r="F1454" s="6"/>
      <c r="G1454"/>
    </row>
    <row r="1455" spans="3:7">
      <c r="C1455"/>
      <c r="D1455"/>
      <c r="E1455"/>
      <c r="F1455" s="6"/>
      <c r="G1455"/>
    </row>
    <row r="1456" spans="3:7">
      <c r="C1456"/>
      <c r="D1456"/>
      <c r="E1456"/>
      <c r="F1456" s="6"/>
      <c r="G1456"/>
    </row>
    <row r="1457" spans="3:7">
      <c r="C1457"/>
      <c r="D1457"/>
      <c r="E1457"/>
      <c r="F1457" s="6"/>
      <c r="G1457"/>
    </row>
    <row r="1458" spans="3:7">
      <c r="C1458"/>
      <c r="D1458"/>
      <c r="E1458"/>
      <c r="F1458" s="6"/>
      <c r="G1458"/>
    </row>
    <row r="1459" spans="3:7">
      <c r="C1459"/>
      <c r="D1459"/>
      <c r="E1459"/>
      <c r="F1459" s="6"/>
      <c r="G1459"/>
    </row>
    <row r="1460" spans="3:7">
      <c r="C1460"/>
      <c r="D1460"/>
      <c r="E1460"/>
      <c r="F1460" s="6"/>
      <c r="G1460"/>
    </row>
    <row r="1461" spans="3:7">
      <c r="C1461"/>
      <c r="D1461"/>
      <c r="E1461"/>
      <c r="F1461" s="6"/>
      <c r="G1461"/>
    </row>
    <row r="1462" spans="3:7">
      <c r="C1462"/>
      <c r="D1462"/>
      <c r="E1462"/>
      <c r="F1462" s="6"/>
      <c r="G1462"/>
    </row>
    <row r="1463" spans="3:7">
      <c r="C1463"/>
      <c r="D1463"/>
      <c r="E1463"/>
      <c r="F1463" s="6"/>
      <c r="G1463"/>
    </row>
    <row r="1464" spans="3:7">
      <c r="C1464"/>
      <c r="D1464"/>
      <c r="E1464"/>
      <c r="F1464" s="6"/>
      <c r="G1464"/>
    </row>
    <row r="1465" spans="3:7">
      <c r="C1465"/>
      <c r="D1465"/>
      <c r="E1465"/>
      <c r="F1465" s="6"/>
      <c r="G1465"/>
    </row>
    <row r="1466" spans="3:7">
      <c r="C1466"/>
      <c r="D1466"/>
      <c r="E1466"/>
      <c r="F1466" s="6"/>
      <c r="G1466"/>
    </row>
    <row r="1467" spans="3:7">
      <c r="C1467"/>
      <c r="D1467"/>
      <c r="E1467"/>
      <c r="F1467" s="6"/>
      <c r="G1467"/>
    </row>
    <row r="1468" spans="3:7">
      <c r="C1468"/>
      <c r="D1468"/>
      <c r="E1468"/>
      <c r="F1468" s="6"/>
      <c r="G1468"/>
    </row>
    <row r="1469" spans="3:7">
      <c r="C1469"/>
      <c r="D1469"/>
      <c r="E1469"/>
      <c r="F1469" s="6"/>
      <c r="G1469"/>
    </row>
    <row r="1470" spans="3:7">
      <c r="C1470"/>
      <c r="D1470"/>
      <c r="E1470"/>
      <c r="F1470" s="6"/>
      <c r="G1470"/>
    </row>
    <row r="1471" spans="3:7">
      <c r="C1471"/>
      <c r="D1471"/>
      <c r="E1471"/>
      <c r="F1471" s="6"/>
      <c r="G1471"/>
    </row>
    <row r="1472" spans="3:7">
      <c r="C1472"/>
      <c r="D1472"/>
      <c r="E1472"/>
      <c r="F1472" s="6"/>
      <c r="G1472"/>
    </row>
    <row r="1473" spans="3:7">
      <c r="C1473"/>
      <c r="D1473"/>
      <c r="E1473"/>
      <c r="F1473" s="6"/>
      <c r="G1473"/>
    </row>
    <row r="1474" spans="3:7">
      <c r="C1474"/>
      <c r="D1474"/>
      <c r="E1474"/>
      <c r="F1474" s="6"/>
      <c r="G1474"/>
    </row>
    <row r="1475" spans="3:7">
      <c r="C1475"/>
      <c r="D1475"/>
      <c r="E1475"/>
      <c r="F1475" s="6"/>
      <c r="G1475"/>
    </row>
    <row r="1476" spans="3:7">
      <c r="C1476"/>
      <c r="D1476"/>
      <c r="E1476"/>
      <c r="F1476" s="6"/>
      <c r="G1476"/>
    </row>
    <row r="1477" spans="3:7">
      <c r="C1477"/>
      <c r="D1477"/>
      <c r="E1477"/>
      <c r="F1477" s="6"/>
      <c r="G1477"/>
    </row>
    <row r="1478" spans="3:7">
      <c r="C1478"/>
      <c r="D1478"/>
      <c r="E1478"/>
      <c r="F1478" s="6"/>
      <c r="G1478"/>
    </row>
    <row r="1479" spans="3:7">
      <c r="C1479"/>
      <c r="D1479"/>
      <c r="E1479"/>
      <c r="F1479" s="6"/>
      <c r="G1479"/>
    </row>
    <row r="1480" spans="3:7">
      <c r="C1480"/>
      <c r="D1480"/>
      <c r="E1480"/>
      <c r="F1480" s="6"/>
      <c r="G1480"/>
    </row>
    <row r="1481" spans="3:7">
      <c r="C1481"/>
      <c r="D1481"/>
      <c r="E1481"/>
      <c r="F1481" s="6"/>
      <c r="G1481"/>
    </row>
    <row r="1482" spans="3:7">
      <c r="C1482"/>
      <c r="D1482"/>
      <c r="E1482"/>
      <c r="F1482" s="6"/>
      <c r="G1482"/>
    </row>
    <row r="1483" spans="3:7">
      <c r="C1483"/>
      <c r="D1483"/>
      <c r="E1483"/>
      <c r="F1483" s="6"/>
      <c r="G1483"/>
    </row>
    <row r="1484" spans="3:7">
      <c r="C1484"/>
      <c r="D1484"/>
      <c r="E1484"/>
      <c r="F1484" s="6"/>
      <c r="G1484"/>
    </row>
    <row r="1485" spans="3:7">
      <c r="C1485"/>
      <c r="D1485"/>
      <c r="E1485"/>
      <c r="F1485" s="6"/>
      <c r="G1485"/>
    </row>
    <row r="1486" spans="3:7">
      <c r="C1486"/>
      <c r="D1486"/>
      <c r="E1486"/>
      <c r="F1486" s="6"/>
      <c r="G1486"/>
    </row>
    <row r="1487" spans="3:7">
      <c r="C1487"/>
      <c r="D1487"/>
      <c r="E1487"/>
      <c r="F1487" s="6"/>
      <c r="G1487"/>
    </row>
    <row r="1488" spans="3:7">
      <c r="C1488"/>
      <c r="D1488"/>
      <c r="E1488"/>
      <c r="F1488" s="6"/>
      <c r="G1488"/>
    </row>
    <row r="1489" spans="3:7">
      <c r="C1489"/>
      <c r="D1489"/>
      <c r="E1489"/>
      <c r="F1489" s="6"/>
      <c r="G1489"/>
    </row>
    <row r="1490" spans="3:7">
      <c r="C1490"/>
      <c r="D1490"/>
      <c r="E1490"/>
      <c r="F1490" s="6"/>
      <c r="G1490"/>
    </row>
    <row r="1491" spans="3:7">
      <c r="C1491"/>
      <c r="D1491"/>
      <c r="E1491"/>
      <c r="F1491" s="6"/>
      <c r="G1491"/>
    </row>
    <row r="1492" spans="3:7">
      <c r="C1492"/>
      <c r="D1492"/>
      <c r="E1492"/>
      <c r="F1492" s="6"/>
      <c r="G1492"/>
    </row>
    <row r="1493" spans="3:7">
      <c r="C1493"/>
      <c r="D1493"/>
      <c r="E1493"/>
      <c r="F1493" s="6"/>
      <c r="G1493"/>
    </row>
    <row r="1494" spans="3:7">
      <c r="C1494"/>
      <c r="D1494"/>
      <c r="E1494"/>
      <c r="F1494" s="6"/>
      <c r="G1494"/>
    </row>
    <row r="1495" spans="3:7">
      <c r="C1495"/>
      <c r="D1495"/>
      <c r="E1495"/>
      <c r="F1495" s="6"/>
      <c r="G1495"/>
    </row>
    <row r="1496" spans="3:7">
      <c r="C1496"/>
      <c r="D1496"/>
      <c r="E1496"/>
      <c r="F1496" s="6"/>
      <c r="G1496"/>
    </row>
    <row r="1497" spans="3:7">
      <c r="C1497"/>
      <c r="D1497"/>
      <c r="E1497"/>
      <c r="F1497" s="6"/>
      <c r="G1497"/>
    </row>
    <row r="1498" spans="3:7">
      <c r="C1498"/>
      <c r="D1498"/>
      <c r="E1498"/>
      <c r="F1498" s="6"/>
      <c r="G1498"/>
    </row>
    <row r="1499" spans="3:7">
      <c r="C1499"/>
      <c r="D1499"/>
      <c r="E1499"/>
      <c r="F1499" s="6"/>
      <c r="G1499"/>
    </row>
    <row r="1500" spans="3:7">
      <c r="C1500"/>
      <c r="D1500"/>
      <c r="E1500"/>
      <c r="F1500" s="6"/>
      <c r="G1500"/>
    </row>
    <row r="1501" spans="3:7">
      <c r="C1501"/>
      <c r="D1501"/>
      <c r="E1501"/>
      <c r="F1501" s="6"/>
      <c r="G1501"/>
    </row>
    <row r="1502" spans="3:7">
      <c r="C1502"/>
      <c r="D1502"/>
      <c r="E1502"/>
      <c r="F1502" s="6"/>
      <c r="G1502"/>
    </row>
    <row r="1503" spans="3:7">
      <c r="C1503"/>
      <c r="D1503"/>
      <c r="E1503"/>
      <c r="F1503" s="6"/>
      <c r="G1503"/>
    </row>
    <row r="1504" spans="3:7">
      <c r="C1504"/>
      <c r="D1504"/>
      <c r="E1504"/>
      <c r="F1504" s="6"/>
      <c r="G1504"/>
    </row>
    <row r="1505" spans="3:7">
      <c r="C1505"/>
      <c r="D1505"/>
      <c r="E1505"/>
      <c r="F1505" s="6"/>
      <c r="G1505"/>
    </row>
    <row r="1506" spans="3:7">
      <c r="C1506"/>
      <c r="D1506"/>
      <c r="E1506"/>
      <c r="F1506" s="6"/>
      <c r="G1506"/>
    </row>
    <row r="1507" spans="3:7">
      <c r="C1507"/>
      <c r="D1507"/>
      <c r="E1507"/>
      <c r="F1507" s="6"/>
      <c r="G1507"/>
    </row>
    <row r="1508" spans="3:7">
      <c r="C1508"/>
      <c r="D1508"/>
      <c r="E1508"/>
      <c r="F1508" s="6"/>
      <c r="G1508"/>
    </row>
    <row r="1509" spans="3:7">
      <c r="C1509"/>
      <c r="D1509"/>
      <c r="E1509"/>
      <c r="F1509" s="6"/>
      <c r="G1509"/>
    </row>
    <row r="1510" spans="3:7">
      <c r="C1510"/>
      <c r="D1510"/>
      <c r="E1510"/>
      <c r="F1510" s="6"/>
      <c r="G1510"/>
    </row>
    <row r="1511" spans="3:7">
      <c r="C1511"/>
      <c r="D1511"/>
      <c r="E1511"/>
      <c r="F1511" s="6"/>
      <c r="G1511"/>
    </row>
    <row r="1512" spans="3:7">
      <c r="C1512"/>
      <c r="D1512"/>
      <c r="E1512"/>
      <c r="F1512" s="6"/>
      <c r="G1512"/>
    </row>
    <row r="1513" spans="3:7">
      <c r="C1513"/>
      <c r="D1513"/>
      <c r="E1513"/>
      <c r="F1513" s="6"/>
      <c r="G1513"/>
    </row>
    <row r="1514" spans="3:7">
      <c r="C1514"/>
      <c r="D1514"/>
      <c r="E1514"/>
      <c r="F1514" s="6"/>
      <c r="G1514"/>
    </row>
    <row r="1515" spans="3:7">
      <c r="C1515"/>
      <c r="D1515"/>
      <c r="E1515"/>
      <c r="F1515" s="6"/>
      <c r="G1515"/>
    </row>
    <row r="1516" spans="3:7">
      <c r="C1516"/>
      <c r="D1516"/>
      <c r="E1516"/>
      <c r="F1516" s="6"/>
      <c r="G1516"/>
    </row>
    <row r="1517" spans="3:7">
      <c r="C1517"/>
      <c r="D1517"/>
      <c r="E1517"/>
      <c r="F1517" s="6"/>
      <c r="G1517"/>
    </row>
    <row r="1518" spans="3:7">
      <c r="C1518"/>
      <c r="D1518"/>
      <c r="E1518"/>
      <c r="F1518" s="6"/>
      <c r="G1518"/>
    </row>
    <row r="1519" spans="3:7">
      <c r="C1519"/>
      <c r="D1519"/>
      <c r="E1519"/>
      <c r="F1519" s="6"/>
      <c r="G1519"/>
    </row>
    <row r="1520" spans="3:7">
      <c r="C1520"/>
      <c r="D1520"/>
      <c r="E1520"/>
      <c r="F1520" s="6"/>
      <c r="G1520"/>
    </row>
    <row r="1521" spans="3:7">
      <c r="C1521"/>
      <c r="D1521"/>
      <c r="E1521"/>
      <c r="F1521" s="6"/>
      <c r="G1521"/>
    </row>
    <row r="1522" spans="3:7">
      <c r="C1522"/>
      <c r="D1522"/>
      <c r="E1522"/>
      <c r="F1522" s="6"/>
      <c r="G1522"/>
    </row>
    <row r="1523" spans="3:7">
      <c r="C1523"/>
      <c r="D1523"/>
      <c r="E1523"/>
      <c r="F1523" s="6"/>
      <c r="G1523"/>
    </row>
    <row r="1524" spans="3:7">
      <c r="C1524"/>
      <c r="D1524"/>
      <c r="E1524"/>
      <c r="F1524" s="6"/>
      <c r="G1524"/>
    </row>
    <row r="1525" spans="3:7">
      <c r="C1525"/>
      <c r="D1525"/>
      <c r="E1525"/>
      <c r="F1525" s="6"/>
      <c r="G1525"/>
    </row>
    <row r="1526" spans="3:7">
      <c r="C1526"/>
      <c r="D1526"/>
      <c r="E1526"/>
      <c r="F1526" s="6"/>
      <c r="G1526"/>
    </row>
    <row r="1527" spans="3:7">
      <c r="C1527"/>
      <c r="D1527"/>
      <c r="E1527"/>
      <c r="F1527" s="6"/>
      <c r="G1527"/>
    </row>
    <row r="1528" spans="3:7">
      <c r="C1528"/>
      <c r="D1528"/>
      <c r="E1528"/>
      <c r="F1528" s="6"/>
      <c r="G1528"/>
    </row>
    <row r="1529" spans="3:7">
      <c r="C1529"/>
      <c r="D1529"/>
      <c r="E1529"/>
      <c r="F1529" s="6"/>
      <c r="G1529"/>
    </row>
    <row r="1530" spans="3:7">
      <c r="C1530"/>
      <c r="D1530"/>
      <c r="E1530"/>
      <c r="F1530" s="6"/>
      <c r="G1530"/>
    </row>
    <row r="1531" spans="3:7">
      <c r="C1531"/>
      <c r="D1531"/>
      <c r="E1531"/>
      <c r="F1531" s="6"/>
      <c r="G1531"/>
    </row>
    <row r="1532" spans="3:7">
      <c r="C1532"/>
      <c r="D1532"/>
      <c r="E1532"/>
      <c r="F1532" s="6"/>
      <c r="G1532"/>
    </row>
    <row r="1533" spans="3:7">
      <c r="C1533"/>
      <c r="D1533"/>
      <c r="E1533"/>
      <c r="F1533" s="6"/>
      <c r="G1533"/>
    </row>
    <row r="1534" spans="3:7">
      <c r="C1534"/>
      <c r="D1534"/>
      <c r="E1534"/>
      <c r="F1534" s="6"/>
      <c r="G1534"/>
    </row>
    <row r="1535" spans="3:7">
      <c r="C1535"/>
      <c r="D1535"/>
      <c r="E1535"/>
      <c r="F1535" s="6"/>
      <c r="G1535"/>
    </row>
    <row r="1536" spans="3:7">
      <c r="C1536"/>
      <c r="D1536"/>
      <c r="E1536"/>
      <c r="F1536" s="6"/>
      <c r="G1536"/>
    </row>
    <row r="1537" spans="3:7">
      <c r="C1537"/>
      <c r="D1537"/>
      <c r="E1537"/>
      <c r="F1537" s="6"/>
      <c r="G1537"/>
    </row>
    <row r="1538" spans="3:7">
      <c r="C1538"/>
      <c r="D1538"/>
      <c r="E1538"/>
      <c r="F1538" s="6"/>
      <c r="G1538"/>
    </row>
    <row r="1539" spans="3:7">
      <c r="C1539"/>
      <c r="D1539"/>
      <c r="E1539"/>
      <c r="F1539" s="6"/>
      <c r="G1539"/>
    </row>
    <row r="1540" spans="3:7">
      <c r="C1540"/>
      <c r="D1540"/>
      <c r="E1540"/>
      <c r="F1540" s="6"/>
      <c r="G1540"/>
    </row>
    <row r="1541" spans="3:7">
      <c r="C1541"/>
      <c r="D1541"/>
      <c r="E1541"/>
      <c r="F1541" s="6"/>
      <c r="G1541"/>
    </row>
    <row r="1542" spans="3:7">
      <c r="C1542"/>
      <c r="D1542"/>
      <c r="E1542"/>
      <c r="F1542" s="6"/>
      <c r="G1542"/>
    </row>
    <row r="1543" spans="3:7">
      <c r="C1543"/>
      <c r="D1543"/>
      <c r="E1543"/>
      <c r="F1543" s="6"/>
      <c r="G1543"/>
    </row>
    <row r="1544" spans="3:7">
      <c r="C1544"/>
      <c r="D1544"/>
      <c r="E1544"/>
      <c r="F1544" s="6"/>
      <c r="G1544"/>
    </row>
    <row r="1545" spans="3:7">
      <c r="C1545"/>
      <c r="D1545"/>
      <c r="E1545"/>
      <c r="F1545" s="6"/>
      <c r="G1545"/>
    </row>
    <row r="1546" spans="3:7">
      <c r="C1546"/>
      <c r="D1546"/>
      <c r="E1546"/>
      <c r="F1546" s="6"/>
      <c r="G1546"/>
    </row>
    <row r="1547" spans="3:7">
      <c r="C1547"/>
      <c r="D1547"/>
      <c r="E1547"/>
      <c r="F1547" s="6"/>
      <c r="G1547"/>
    </row>
    <row r="1548" spans="3:7">
      <c r="C1548"/>
      <c r="D1548"/>
      <c r="E1548"/>
      <c r="F1548" s="6"/>
      <c r="G1548"/>
    </row>
    <row r="1549" spans="3:7">
      <c r="C1549"/>
      <c r="D1549"/>
      <c r="E1549"/>
      <c r="F1549" s="6"/>
      <c r="G1549"/>
    </row>
    <row r="1550" spans="3:7">
      <c r="C1550"/>
      <c r="D1550"/>
      <c r="E1550"/>
      <c r="F1550" s="6"/>
      <c r="G1550"/>
    </row>
    <row r="1551" spans="3:7">
      <c r="C1551"/>
      <c r="D1551"/>
      <c r="E1551"/>
      <c r="F1551" s="6"/>
      <c r="G1551"/>
    </row>
    <row r="1552" spans="3:7">
      <c r="C1552"/>
      <c r="D1552"/>
      <c r="E1552"/>
      <c r="F1552" s="6"/>
      <c r="G1552"/>
    </row>
    <row r="1553" spans="3:7">
      <c r="C1553"/>
      <c r="D1553"/>
      <c r="E1553"/>
      <c r="F1553" s="6"/>
      <c r="G1553"/>
    </row>
    <row r="1554" spans="3:7">
      <c r="C1554"/>
      <c r="D1554"/>
      <c r="E1554"/>
      <c r="F1554" s="6"/>
      <c r="G1554"/>
    </row>
    <row r="1555" spans="3:7">
      <c r="C1555"/>
      <c r="D1555"/>
      <c r="E1555"/>
      <c r="F1555" s="6"/>
      <c r="G1555"/>
    </row>
    <row r="1556" spans="3:7">
      <c r="C1556"/>
      <c r="D1556"/>
      <c r="E1556"/>
      <c r="F1556" s="6"/>
      <c r="G1556"/>
    </row>
    <row r="1557" spans="3:7">
      <c r="C1557"/>
      <c r="D1557"/>
      <c r="E1557"/>
      <c r="F1557" s="6"/>
      <c r="G1557"/>
    </row>
    <row r="1558" spans="3:7">
      <c r="C1558"/>
      <c r="D1558"/>
      <c r="E1558"/>
      <c r="F1558" s="6"/>
      <c r="G1558"/>
    </row>
    <row r="1559" spans="3:7">
      <c r="C1559"/>
      <c r="D1559"/>
      <c r="E1559"/>
      <c r="F1559" s="6"/>
      <c r="G1559"/>
    </row>
    <row r="1560" spans="3:7">
      <c r="C1560"/>
      <c r="D1560"/>
      <c r="E1560"/>
      <c r="F1560" s="6"/>
      <c r="G1560"/>
    </row>
    <row r="1561" spans="3:7">
      <c r="C1561"/>
      <c r="D1561"/>
      <c r="E1561"/>
      <c r="F1561" s="6"/>
      <c r="G1561"/>
    </row>
    <row r="1562" spans="3:7">
      <c r="C1562"/>
      <c r="D1562"/>
      <c r="E1562"/>
      <c r="F1562" s="6"/>
      <c r="G1562"/>
    </row>
    <row r="1563" spans="3:7">
      <c r="C1563"/>
      <c r="D1563"/>
      <c r="E1563"/>
      <c r="F1563" s="6"/>
      <c r="G1563"/>
    </row>
    <row r="1564" spans="3:7">
      <c r="C1564"/>
      <c r="D1564"/>
      <c r="E1564"/>
      <c r="F1564" s="6"/>
      <c r="G1564"/>
    </row>
    <row r="1565" spans="3:7">
      <c r="C1565"/>
      <c r="D1565"/>
      <c r="E1565"/>
      <c r="F1565" s="6"/>
      <c r="G1565"/>
    </row>
    <row r="1566" spans="3:7">
      <c r="C1566"/>
      <c r="D1566"/>
      <c r="E1566"/>
      <c r="F1566" s="6"/>
      <c r="G1566"/>
    </row>
    <row r="1567" spans="3:7">
      <c r="C1567"/>
      <c r="D1567"/>
      <c r="E1567"/>
      <c r="F1567" s="6"/>
      <c r="G1567"/>
    </row>
    <row r="1568" spans="3:7">
      <c r="C1568"/>
      <c r="D1568"/>
      <c r="E1568"/>
      <c r="F1568" s="6"/>
      <c r="G1568"/>
    </row>
    <row r="1569" spans="3:7">
      <c r="C1569"/>
      <c r="D1569"/>
      <c r="E1569"/>
      <c r="F1569" s="6"/>
      <c r="G1569"/>
    </row>
    <row r="1570" spans="3:7">
      <c r="C1570"/>
      <c r="D1570"/>
      <c r="E1570"/>
      <c r="F1570" s="6"/>
      <c r="G1570"/>
    </row>
    <row r="1571" spans="3:7">
      <c r="C1571"/>
      <c r="D1571"/>
      <c r="E1571"/>
      <c r="F1571" s="6"/>
      <c r="G1571"/>
    </row>
    <row r="1572" spans="3:7">
      <c r="C1572"/>
      <c r="D1572"/>
      <c r="E1572"/>
      <c r="F1572" s="6"/>
      <c r="G1572"/>
    </row>
    <row r="1573" spans="3:7">
      <c r="C1573"/>
      <c r="D1573"/>
      <c r="E1573"/>
      <c r="F1573" s="6"/>
      <c r="G1573"/>
    </row>
    <row r="1574" spans="3:7">
      <c r="C1574"/>
      <c r="D1574"/>
      <c r="E1574"/>
      <c r="F1574" s="6"/>
      <c r="G1574"/>
    </row>
    <row r="1575" spans="3:7">
      <c r="C1575"/>
      <c r="D1575"/>
      <c r="E1575"/>
      <c r="F1575" s="6"/>
      <c r="G1575"/>
    </row>
    <row r="1576" spans="3:7">
      <c r="C1576"/>
      <c r="D1576"/>
      <c r="E1576"/>
      <c r="F1576" s="6"/>
      <c r="G1576"/>
    </row>
    <row r="1577" spans="3:7">
      <c r="C1577"/>
      <c r="D1577"/>
      <c r="E1577"/>
      <c r="F1577" s="6"/>
      <c r="G1577"/>
    </row>
    <row r="1578" spans="3:7">
      <c r="C1578"/>
      <c r="D1578"/>
      <c r="E1578"/>
      <c r="F1578" s="6"/>
      <c r="G1578"/>
    </row>
    <row r="1579" spans="3:7">
      <c r="C1579"/>
      <c r="D1579"/>
      <c r="E1579"/>
      <c r="F1579" s="6"/>
      <c r="G1579"/>
    </row>
    <row r="1580" spans="3:7">
      <c r="C1580"/>
      <c r="D1580"/>
      <c r="E1580"/>
      <c r="F1580" s="6"/>
      <c r="G1580"/>
    </row>
    <row r="1581" spans="3:7">
      <c r="C1581"/>
      <c r="D1581"/>
      <c r="E1581"/>
      <c r="F1581" s="6"/>
      <c r="G1581"/>
    </row>
    <row r="1582" spans="3:7">
      <c r="C1582"/>
      <c r="D1582"/>
      <c r="E1582"/>
      <c r="F1582" s="6"/>
      <c r="G1582"/>
    </row>
    <row r="1583" spans="3:7">
      <c r="C1583"/>
      <c r="D1583"/>
      <c r="E1583"/>
      <c r="F1583" s="6"/>
      <c r="G1583"/>
    </row>
    <row r="1584" spans="3:7">
      <c r="C1584"/>
      <c r="D1584"/>
      <c r="E1584"/>
      <c r="F1584" s="6"/>
      <c r="G1584"/>
    </row>
    <row r="1585" spans="3:7">
      <c r="C1585"/>
      <c r="D1585"/>
      <c r="E1585"/>
      <c r="F1585" s="6"/>
      <c r="G1585"/>
    </row>
    <row r="1586" spans="3:7">
      <c r="C1586"/>
      <c r="D1586"/>
      <c r="E1586"/>
      <c r="F1586" s="6"/>
      <c r="G1586"/>
    </row>
    <row r="1587" spans="3:7">
      <c r="C1587"/>
      <c r="D1587"/>
      <c r="E1587"/>
      <c r="F1587" s="6"/>
      <c r="G1587"/>
    </row>
    <row r="1588" spans="3:7">
      <c r="C1588"/>
      <c r="D1588"/>
      <c r="E1588"/>
      <c r="F1588" s="6"/>
      <c r="G1588"/>
    </row>
    <row r="1589" spans="3:7">
      <c r="C1589"/>
      <c r="D1589"/>
      <c r="E1589"/>
      <c r="F1589" s="6"/>
      <c r="G1589"/>
    </row>
    <row r="1590" spans="3:7">
      <c r="C1590"/>
      <c r="D1590"/>
      <c r="E1590"/>
      <c r="F1590" s="6"/>
      <c r="G1590"/>
    </row>
    <row r="1591" spans="3:7">
      <c r="C1591"/>
      <c r="D1591"/>
      <c r="E1591"/>
      <c r="F1591" s="6"/>
      <c r="G1591"/>
    </row>
    <row r="1592" spans="3:7">
      <c r="C1592"/>
      <c r="D1592"/>
      <c r="E1592"/>
      <c r="F1592" s="6"/>
      <c r="G1592"/>
    </row>
    <row r="1593" spans="3:7">
      <c r="C1593"/>
      <c r="D1593"/>
      <c r="E1593"/>
      <c r="F1593" s="6"/>
      <c r="G1593"/>
    </row>
    <row r="1594" spans="3:7">
      <c r="C1594"/>
      <c r="D1594"/>
      <c r="E1594"/>
      <c r="F1594" s="6"/>
      <c r="G1594"/>
    </row>
    <row r="1595" spans="3:7">
      <c r="C1595"/>
      <c r="D1595"/>
      <c r="E1595"/>
      <c r="F1595" s="6"/>
      <c r="G1595"/>
    </row>
    <row r="1596" spans="3:7">
      <c r="C1596"/>
      <c r="D1596"/>
      <c r="E1596"/>
      <c r="F1596" s="6"/>
      <c r="G1596"/>
    </row>
    <row r="1597" spans="3:7">
      <c r="C1597"/>
      <c r="D1597"/>
      <c r="E1597"/>
      <c r="F1597" s="6"/>
      <c r="G1597"/>
    </row>
    <row r="1598" spans="3:7">
      <c r="C1598"/>
      <c r="D1598"/>
      <c r="E1598"/>
      <c r="F1598" s="6"/>
      <c r="G1598"/>
    </row>
    <row r="1599" spans="3:7">
      <c r="C1599"/>
      <c r="D1599"/>
      <c r="E1599"/>
      <c r="F1599" s="6"/>
      <c r="G1599"/>
    </row>
    <row r="1600" spans="3:7">
      <c r="C1600"/>
      <c r="D1600"/>
      <c r="E1600"/>
      <c r="F1600" s="6"/>
      <c r="G1600"/>
    </row>
    <row r="1601" spans="3:7">
      <c r="C1601"/>
      <c r="D1601"/>
      <c r="E1601"/>
      <c r="F1601" s="6"/>
      <c r="G1601"/>
    </row>
    <row r="1602" spans="3:7">
      <c r="C1602"/>
      <c r="D1602"/>
      <c r="E1602"/>
      <c r="F1602" s="6"/>
      <c r="G1602"/>
    </row>
    <row r="1603" spans="3:7">
      <c r="C1603"/>
      <c r="D1603"/>
      <c r="E1603"/>
      <c r="F1603" s="6"/>
      <c r="G1603"/>
    </row>
    <row r="1604" spans="3:7">
      <c r="C1604"/>
      <c r="D1604"/>
      <c r="E1604"/>
      <c r="F1604" s="6"/>
      <c r="G1604"/>
    </row>
    <row r="1605" spans="3:7">
      <c r="C1605"/>
      <c r="D1605"/>
      <c r="E1605"/>
      <c r="F1605" s="6"/>
      <c r="G1605"/>
    </row>
    <row r="1606" spans="3:7">
      <c r="C1606"/>
      <c r="D1606"/>
      <c r="E1606"/>
      <c r="F1606" s="6"/>
      <c r="G1606"/>
    </row>
    <row r="1607" spans="3:7">
      <c r="C1607"/>
      <c r="D1607"/>
      <c r="E1607"/>
      <c r="F1607" s="6"/>
      <c r="G1607"/>
    </row>
    <row r="1608" spans="3:7">
      <c r="C1608"/>
      <c r="D1608"/>
      <c r="E1608"/>
      <c r="F1608" s="6"/>
      <c r="G1608"/>
    </row>
    <row r="1609" spans="3:7">
      <c r="C1609"/>
      <c r="D1609"/>
      <c r="E1609"/>
      <c r="F1609" s="6"/>
      <c r="G1609"/>
    </row>
    <row r="1610" spans="3:7">
      <c r="C1610"/>
      <c r="D1610"/>
      <c r="E1610"/>
      <c r="F1610" s="6"/>
      <c r="G1610"/>
    </row>
    <row r="1611" spans="3:7">
      <c r="C1611"/>
      <c r="D1611"/>
      <c r="E1611"/>
      <c r="F1611" s="6"/>
      <c r="G1611"/>
    </row>
    <row r="1612" spans="3:7">
      <c r="C1612"/>
      <c r="D1612"/>
      <c r="E1612"/>
      <c r="F1612" s="6"/>
      <c r="G1612"/>
    </row>
    <row r="1613" spans="3:7">
      <c r="C1613"/>
      <c r="D1613"/>
      <c r="E1613"/>
      <c r="F1613" s="6"/>
      <c r="G1613"/>
    </row>
    <row r="1614" spans="3:7">
      <c r="C1614"/>
      <c r="D1614"/>
      <c r="E1614"/>
      <c r="F1614" s="6"/>
      <c r="G1614"/>
    </row>
    <row r="1615" spans="3:7">
      <c r="C1615"/>
      <c r="D1615"/>
      <c r="E1615"/>
      <c r="F1615" s="6"/>
      <c r="G1615"/>
    </row>
    <row r="1616" spans="3:7">
      <c r="C1616"/>
      <c r="D1616"/>
      <c r="E1616"/>
      <c r="F1616" s="6"/>
      <c r="G1616"/>
    </row>
    <row r="1617" spans="3:7">
      <c r="C1617"/>
      <c r="D1617"/>
      <c r="E1617"/>
      <c r="F1617" s="6"/>
      <c r="G1617"/>
    </row>
    <row r="1618" spans="3:7">
      <c r="C1618"/>
      <c r="D1618"/>
      <c r="E1618"/>
      <c r="F1618" s="6"/>
      <c r="G1618"/>
    </row>
    <row r="1619" spans="3:7">
      <c r="C1619"/>
      <c r="D1619"/>
      <c r="E1619"/>
      <c r="F1619" s="6"/>
      <c r="G1619"/>
    </row>
    <row r="1620" spans="3:7">
      <c r="C1620"/>
      <c r="D1620"/>
      <c r="E1620"/>
      <c r="F1620" s="6"/>
      <c r="G1620"/>
    </row>
    <row r="1621" spans="3:7">
      <c r="C1621"/>
      <c r="D1621"/>
      <c r="E1621"/>
      <c r="F1621" s="6"/>
      <c r="G1621"/>
    </row>
    <row r="1622" spans="3:7">
      <c r="C1622"/>
      <c r="D1622"/>
      <c r="E1622"/>
      <c r="F1622" s="6"/>
      <c r="G1622"/>
    </row>
    <row r="1623" spans="3:7">
      <c r="C1623"/>
      <c r="D1623"/>
      <c r="E1623"/>
      <c r="F1623" s="6"/>
      <c r="G1623"/>
    </row>
    <row r="1624" spans="3:7">
      <c r="C1624"/>
      <c r="D1624"/>
      <c r="E1624"/>
      <c r="F1624" s="6"/>
      <c r="G1624"/>
    </row>
    <row r="1625" spans="3:7">
      <c r="C1625"/>
      <c r="D1625"/>
      <c r="E1625"/>
      <c r="F1625" s="6"/>
      <c r="G1625"/>
    </row>
    <row r="1626" spans="3:7">
      <c r="C1626"/>
      <c r="D1626"/>
      <c r="E1626"/>
      <c r="F1626" s="6"/>
      <c r="G1626"/>
    </row>
    <row r="1627" spans="3:7">
      <c r="C1627"/>
      <c r="D1627"/>
      <c r="E1627"/>
      <c r="F1627" s="6"/>
      <c r="G1627"/>
    </row>
    <row r="1628" spans="3:7">
      <c r="C1628"/>
      <c r="D1628"/>
      <c r="E1628"/>
      <c r="F1628" s="6"/>
      <c r="G1628"/>
    </row>
    <row r="1629" spans="3:7">
      <c r="C1629"/>
      <c r="D1629"/>
      <c r="E1629"/>
      <c r="F1629" s="6"/>
      <c r="G1629"/>
    </row>
    <row r="1630" spans="3:7">
      <c r="C1630"/>
      <c r="D1630"/>
      <c r="E1630"/>
      <c r="F1630" s="6"/>
      <c r="G1630"/>
    </row>
    <row r="1631" spans="3:7">
      <c r="C1631"/>
      <c r="D1631"/>
      <c r="E1631"/>
      <c r="F1631" s="6"/>
      <c r="G1631"/>
    </row>
    <row r="1632" spans="3:7">
      <c r="C1632"/>
      <c r="D1632"/>
      <c r="E1632"/>
      <c r="F1632" s="6"/>
      <c r="G1632"/>
    </row>
    <row r="1633" spans="3:7">
      <c r="C1633"/>
      <c r="D1633"/>
      <c r="E1633"/>
      <c r="F1633" s="6"/>
      <c r="G1633"/>
    </row>
    <row r="1634" spans="3:7">
      <c r="C1634"/>
      <c r="D1634"/>
      <c r="E1634"/>
      <c r="F1634" s="6"/>
      <c r="G1634"/>
    </row>
    <row r="1635" spans="3:7">
      <c r="C1635"/>
      <c r="D1635"/>
      <c r="E1635"/>
      <c r="F1635" s="6"/>
      <c r="G1635"/>
    </row>
    <row r="1636" spans="3:7">
      <c r="C1636"/>
      <c r="D1636"/>
      <c r="E1636"/>
      <c r="F1636" s="6"/>
      <c r="G1636"/>
    </row>
    <row r="1637" spans="3:7">
      <c r="C1637"/>
      <c r="D1637"/>
      <c r="E1637"/>
      <c r="F1637" s="6"/>
      <c r="G1637"/>
    </row>
    <row r="1638" spans="3:7">
      <c r="C1638"/>
      <c r="D1638"/>
      <c r="E1638"/>
      <c r="F1638" s="6"/>
      <c r="G1638"/>
    </row>
    <row r="1639" spans="3:7">
      <c r="C1639"/>
      <c r="D1639"/>
      <c r="E1639"/>
      <c r="F1639" s="6"/>
      <c r="G1639"/>
    </row>
    <row r="1640" spans="3:7">
      <c r="C1640"/>
      <c r="D1640"/>
      <c r="E1640"/>
      <c r="F1640" s="6"/>
      <c r="G1640"/>
    </row>
    <row r="1641" spans="3:7">
      <c r="C1641"/>
      <c r="D1641"/>
      <c r="E1641"/>
      <c r="F1641" s="6"/>
      <c r="G1641"/>
    </row>
    <row r="1642" spans="3:7">
      <c r="C1642"/>
      <c r="D1642"/>
      <c r="E1642"/>
      <c r="F1642" s="6"/>
      <c r="G1642"/>
    </row>
    <row r="1643" spans="3:7">
      <c r="C1643"/>
      <c r="D1643"/>
      <c r="E1643"/>
      <c r="F1643" s="6"/>
      <c r="G1643"/>
    </row>
    <row r="1644" spans="3:7">
      <c r="C1644"/>
      <c r="D1644"/>
      <c r="E1644"/>
      <c r="F1644" s="6"/>
      <c r="G1644"/>
    </row>
    <row r="1645" spans="3:7">
      <c r="C1645"/>
      <c r="D1645"/>
      <c r="E1645"/>
      <c r="F1645" s="6"/>
      <c r="G1645"/>
    </row>
    <row r="1646" spans="3:7">
      <c r="C1646"/>
      <c r="D1646"/>
      <c r="E1646"/>
      <c r="F1646" s="6"/>
      <c r="G1646"/>
    </row>
    <row r="1647" spans="3:7">
      <c r="C1647"/>
      <c r="D1647"/>
      <c r="E1647"/>
      <c r="F1647" s="6"/>
      <c r="G1647"/>
    </row>
    <row r="1648" spans="3:7">
      <c r="C1648"/>
      <c r="D1648"/>
      <c r="E1648"/>
      <c r="F1648" s="6"/>
      <c r="G1648"/>
    </row>
    <row r="1649" spans="3:7">
      <c r="C1649"/>
      <c r="D1649"/>
      <c r="E1649"/>
      <c r="F1649" s="6"/>
      <c r="G1649"/>
    </row>
    <row r="1650" spans="3:7">
      <c r="C1650"/>
      <c r="D1650"/>
      <c r="E1650"/>
      <c r="F1650" s="6"/>
      <c r="G1650"/>
    </row>
    <row r="1651" spans="3:7">
      <c r="C1651"/>
      <c r="D1651"/>
      <c r="E1651"/>
      <c r="F1651" s="6"/>
      <c r="G1651"/>
    </row>
    <row r="1652" spans="3:7">
      <c r="C1652"/>
      <c r="D1652"/>
      <c r="E1652"/>
      <c r="F1652" s="6"/>
      <c r="G1652"/>
    </row>
    <row r="1653" spans="3:7">
      <c r="C1653"/>
      <c r="D1653"/>
      <c r="E1653"/>
      <c r="F1653" s="6"/>
      <c r="G1653"/>
    </row>
    <row r="1654" spans="3:7">
      <c r="C1654"/>
      <c r="D1654"/>
      <c r="E1654"/>
      <c r="F1654" s="6"/>
      <c r="G1654"/>
    </row>
    <row r="1655" spans="3:7">
      <c r="C1655"/>
      <c r="D1655"/>
      <c r="E1655"/>
      <c r="F1655" s="6"/>
      <c r="G1655"/>
    </row>
    <row r="1656" spans="3:7">
      <c r="C1656"/>
      <c r="D1656"/>
      <c r="E1656"/>
      <c r="F1656" s="6"/>
      <c r="G1656"/>
    </row>
    <row r="1657" spans="3:7">
      <c r="C1657"/>
      <c r="D1657"/>
      <c r="E1657"/>
      <c r="F1657" s="6"/>
      <c r="G1657"/>
    </row>
    <row r="1658" spans="3:7">
      <c r="C1658"/>
      <c r="D1658"/>
      <c r="E1658"/>
      <c r="F1658" s="6"/>
      <c r="G1658"/>
    </row>
    <row r="1659" spans="3:7">
      <c r="C1659"/>
      <c r="D1659"/>
      <c r="E1659"/>
      <c r="F1659" s="6"/>
      <c r="G1659"/>
    </row>
    <row r="1660" spans="3:7">
      <c r="C1660"/>
      <c r="D1660"/>
      <c r="E1660"/>
      <c r="F1660" s="6"/>
      <c r="G1660"/>
    </row>
    <row r="1661" spans="3:7">
      <c r="C1661"/>
      <c r="D1661"/>
      <c r="E1661"/>
      <c r="F1661" s="6"/>
      <c r="G1661"/>
    </row>
    <row r="1662" spans="3:7">
      <c r="C1662"/>
      <c r="D1662"/>
      <c r="E1662"/>
      <c r="F1662" s="6"/>
      <c r="G1662"/>
    </row>
    <row r="1663" spans="3:7">
      <c r="C1663"/>
      <c r="D1663"/>
      <c r="E1663"/>
      <c r="F1663" s="6"/>
      <c r="G1663"/>
    </row>
    <row r="1664" spans="3:7">
      <c r="C1664"/>
      <c r="D1664"/>
      <c r="E1664"/>
      <c r="F1664" s="6"/>
      <c r="G1664"/>
    </row>
    <row r="1665" spans="3:7">
      <c r="C1665"/>
      <c r="D1665"/>
      <c r="E1665"/>
      <c r="F1665" s="6"/>
      <c r="G1665"/>
    </row>
    <row r="1666" spans="3:7">
      <c r="C1666"/>
      <c r="D1666"/>
      <c r="E1666"/>
      <c r="F1666" s="6"/>
      <c r="G1666"/>
    </row>
    <row r="1667" spans="3:7">
      <c r="C1667"/>
      <c r="D1667"/>
      <c r="E1667"/>
      <c r="F1667" s="6"/>
      <c r="G1667"/>
    </row>
    <row r="1668" spans="3:7">
      <c r="C1668"/>
      <c r="D1668"/>
      <c r="E1668"/>
      <c r="F1668" s="6"/>
      <c r="G1668"/>
    </row>
    <row r="1669" spans="3:7">
      <c r="C1669"/>
      <c r="D1669"/>
      <c r="E1669"/>
      <c r="F1669" s="6"/>
      <c r="G1669"/>
    </row>
    <row r="1670" spans="3:7">
      <c r="C1670"/>
      <c r="D1670"/>
      <c r="E1670"/>
      <c r="F1670" s="6"/>
      <c r="G1670"/>
    </row>
    <row r="1671" spans="3:7">
      <c r="C1671"/>
      <c r="D1671"/>
      <c r="E1671"/>
      <c r="F1671" s="6"/>
      <c r="G1671"/>
    </row>
    <row r="1672" spans="3:7">
      <c r="C1672"/>
      <c r="D1672"/>
      <c r="E1672"/>
      <c r="F1672" s="6"/>
      <c r="G1672"/>
    </row>
    <row r="1673" spans="3:7">
      <c r="C1673"/>
      <c r="D1673"/>
      <c r="E1673"/>
      <c r="F1673" s="6"/>
      <c r="G1673"/>
    </row>
    <row r="1674" spans="3:7">
      <c r="C1674"/>
      <c r="D1674"/>
      <c r="E1674"/>
      <c r="F1674" s="6"/>
      <c r="G1674"/>
    </row>
    <row r="1675" spans="3:7">
      <c r="C1675"/>
      <c r="D1675"/>
      <c r="E1675"/>
      <c r="F1675" s="6"/>
      <c r="G1675"/>
    </row>
    <row r="1676" spans="3:7">
      <c r="C1676"/>
      <c r="D1676"/>
      <c r="E1676"/>
      <c r="F1676" s="6"/>
      <c r="G1676"/>
    </row>
    <row r="1677" spans="3:7">
      <c r="C1677"/>
      <c r="D1677"/>
      <c r="E1677"/>
      <c r="F1677" s="6"/>
      <c r="G1677"/>
    </row>
    <row r="1678" spans="3:7">
      <c r="C1678"/>
      <c r="D1678"/>
      <c r="E1678"/>
      <c r="F1678" s="6"/>
      <c r="G1678"/>
    </row>
    <row r="1679" spans="3:7">
      <c r="C1679"/>
      <c r="D1679"/>
      <c r="E1679"/>
      <c r="F1679" s="6"/>
      <c r="G1679"/>
    </row>
    <row r="1680" spans="3:7">
      <c r="C1680"/>
      <c r="D1680"/>
      <c r="E1680"/>
      <c r="F1680" s="6"/>
      <c r="G1680"/>
    </row>
    <row r="1681" spans="3:7">
      <c r="C1681"/>
      <c r="D1681"/>
      <c r="E1681"/>
      <c r="F1681" s="6"/>
      <c r="G1681"/>
    </row>
    <row r="1682" spans="3:7">
      <c r="C1682"/>
      <c r="D1682"/>
      <c r="E1682"/>
      <c r="F1682" s="6"/>
      <c r="G1682"/>
    </row>
    <row r="1683" spans="3:7">
      <c r="C1683"/>
      <c r="D1683"/>
      <c r="E1683"/>
      <c r="F1683" s="6"/>
      <c r="G1683"/>
    </row>
    <row r="1684" spans="3:7">
      <c r="C1684"/>
      <c r="D1684"/>
      <c r="E1684"/>
      <c r="F1684" s="6"/>
      <c r="G1684"/>
    </row>
    <row r="1685" spans="3:7">
      <c r="C1685"/>
      <c r="D1685"/>
      <c r="E1685"/>
      <c r="F1685" s="6"/>
      <c r="G1685"/>
    </row>
    <row r="1686" spans="3:7">
      <c r="C1686"/>
      <c r="D1686"/>
      <c r="E1686"/>
      <c r="F1686" s="6"/>
      <c r="G1686"/>
    </row>
    <row r="1687" spans="3:7">
      <c r="C1687"/>
      <c r="D1687"/>
      <c r="E1687"/>
      <c r="F1687" s="6"/>
      <c r="G1687"/>
    </row>
    <row r="1688" spans="3:7">
      <c r="C1688"/>
      <c r="D1688"/>
      <c r="E1688"/>
      <c r="F1688" s="6"/>
      <c r="G1688"/>
    </row>
    <row r="1689" spans="3:7">
      <c r="C1689"/>
      <c r="D1689"/>
      <c r="E1689"/>
      <c r="F1689" s="6"/>
      <c r="G1689"/>
    </row>
    <row r="1690" spans="3:7">
      <c r="C1690"/>
      <c r="D1690"/>
      <c r="E1690"/>
      <c r="F1690" s="6"/>
      <c r="G1690"/>
    </row>
    <row r="1691" spans="3:7">
      <c r="C1691"/>
      <c r="D1691"/>
      <c r="E1691"/>
      <c r="F1691" s="6"/>
      <c r="G1691"/>
    </row>
    <row r="1692" spans="3:7">
      <c r="C1692"/>
      <c r="D1692"/>
      <c r="E1692"/>
      <c r="F1692" s="6"/>
      <c r="G1692"/>
    </row>
    <row r="1693" spans="3:7">
      <c r="C1693"/>
      <c r="D1693"/>
      <c r="E1693"/>
      <c r="F1693" s="6"/>
      <c r="G1693"/>
    </row>
    <row r="1694" spans="3:7">
      <c r="C1694"/>
      <c r="D1694"/>
      <c r="E1694"/>
      <c r="F1694" s="6"/>
      <c r="G1694"/>
    </row>
    <row r="1695" spans="3:7">
      <c r="C1695"/>
      <c r="D1695"/>
      <c r="E1695"/>
      <c r="F1695" s="6"/>
      <c r="G1695"/>
    </row>
    <row r="1696" spans="3:7">
      <c r="C1696"/>
      <c r="D1696"/>
      <c r="E1696"/>
      <c r="F1696" s="6"/>
      <c r="G1696"/>
    </row>
    <row r="1697" spans="3:7">
      <c r="C1697"/>
      <c r="D1697"/>
      <c r="E1697"/>
      <c r="F1697" s="6"/>
      <c r="G1697"/>
    </row>
    <row r="1698" spans="3:7">
      <c r="C1698"/>
      <c r="D1698"/>
      <c r="E1698"/>
      <c r="F1698" s="6"/>
      <c r="G1698"/>
    </row>
    <row r="1699" spans="3:7">
      <c r="C1699" s="3"/>
      <c r="D1699" s="3"/>
      <c r="E1699" s="3"/>
      <c r="F1699" s="4"/>
      <c r="G1699" s="3"/>
    </row>
  </sheetData>
  <mergeCells count="3">
    <mergeCell ref="Q60:R60"/>
    <mergeCell ref="T5:U5"/>
    <mergeCell ref="T6:U6"/>
  </mergeCells>
  <phoneticPr fontId="1" type="noConversion"/>
  <conditionalFormatting sqref="S2:S59">
    <cfRule type="dataBar" priority="8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{20608145-FFFF-40A1-93C8-1F62482B9173}</x14:id>
        </ext>
      </extLst>
    </cfRule>
  </conditionalFormatting>
  <conditionalFormatting sqref="T3:U3">
    <cfRule type="dataBar" priority="6">
      <dataBar>
        <cfvo type="num" val="0"/>
        <cfvo type="num" val="1"/>
        <color rgb="FF30FA73"/>
      </dataBar>
      <extLst>
        <ext xmlns:x14="http://schemas.microsoft.com/office/spreadsheetml/2009/9/main" uri="{B025F937-C7B1-47D3-B67F-A62EFF666E3E}">
          <x14:id>{2ADC4688-6473-480B-AF30-9F222D017F5A}</x14:id>
        </ext>
      </extLst>
    </cfRule>
    <cfRule type="dataBar" priority="7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{FE42C88D-CE04-4DC3-8DC7-3F3A39E568FD}</x14:id>
        </ext>
      </extLst>
    </cfRule>
  </conditionalFormatting>
  <conditionalFormatting sqref="S60">
    <cfRule type="dataBar" priority="1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{0627964D-73AC-4F41-9D40-8023E60D4FA8}</x14:id>
        </ext>
      </extLst>
    </cfRule>
  </conditionalFormatting>
  <pageMargins left="0.7" right="0.7" top="0.75" bottom="0.75" header="0.3" footer="0.3"/>
  <pageSetup orientation="portrait" horizontalDpi="4294967293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608145-FFFF-40A1-93C8-1F62482B9173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S2:S59</xm:sqref>
        </x14:conditionalFormatting>
        <x14:conditionalFormatting xmlns:xm="http://schemas.microsoft.com/office/excel/2006/main">
          <x14:cfRule type="dataBar" id="{2ADC4688-6473-480B-AF30-9F222D017F5A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FF0000"/>
              <x14:negativeFillColor rgb="FFFF0000"/>
              <x14:axisColor rgb="FF000000"/>
            </x14:dataBar>
          </x14:cfRule>
          <x14:cfRule type="dataBar" id="{FE42C88D-CE04-4DC3-8DC7-3F3A39E568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T3:U3</xm:sqref>
        </x14:conditionalFormatting>
        <x14:conditionalFormatting xmlns:xm="http://schemas.microsoft.com/office/excel/2006/main">
          <x14:cfRule type="dataBar" id="{0627964D-73AC-4F41-9D40-8023E60D4FA8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FF00"/>
              <x14:negativeFillColor rgb="FFFF0000"/>
              <x14:axisColor rgb="FF000000"/>
            </x14:dataBar>
          </x14:cfRule>
          <xm:sqref>S60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583BE-A9C5-4306-967E-D124AE190901}">
  <dimension ref="A1:M15"/>
  <sheetViews>
    <sheetView workbookViewId="0">
      <selection activeCell="M6" sqref="M6:M7"/>
    </sheetView>
  </sheetViews>
  <sheetFormatPr baseColWidth="10" defaultRowHeight="15"/>
  <cols>
    <col min="3" max="3" width="17.28515625" customWidth="1"/>
    <col min="4" max="4" width="17.42578125" customWidth="1"/>
  </cols>
  <sheetData>
    <row r="1" spans="1:13" ht="128.25" customHeight="1">
      <c r="A1" s="46" t="s">
        <v>59</v>
      </c>
      <c r="B1" s="28" t="s">
        <v>11</v>
      </c>
      <c r="C1" s="28" t="s">
        <v>79</v>
      </c>
      <c r="D1" s="42" t="s">
        <v>24</v>
      </c>
      <c r="E1" s="28" t="s">
        <v>17</v>
      </c>
      <c r="F1" s="43" t="s">
        <v>76</v>
      </c>
      <c r="G1" s="44" t="s">
        <v>91</v>
      </c>
      <c r="H1" s="47" t="s">
        <v>90</v>
      </c>
      <c r="I1" s="47" t="s">
        <v>92</v>
      </c>
      <c r="J1" s="47" t="s">
        <v>93</v>
      </c>
      <c r="K1" s="48" t="s">
        <v>47</v>
      </c>
      <c r="L1" s="49" t="s">
        <v>48</v>
      </c>
      <c r="M1" s="45" t="s">
        <v>94</v>
      </c>
    </row>
    <row r="2" spans="1:13">
      <c r="A2" s="39" t="s">
        <v>68</v>
      </c>
      <c r="B2" s="13">
        <v>1</v>
      </c>
      <c r="C2" s="13" t="s">
        <v>70</v>
      </c>
      <c r="D2" s="13" t="s">
        <v>49</v>
      </c>
      <c r="E2" s="13" t="s">
        <v>14</v>
      </c>
      <c r="F2" s="12" t="s">
        <v>80</v>
      </c>
      <c r="G2" s="12">
        <v>1</v>
      </c>
      <c r="H2" s="12">
        <v>1</v>
      </c>
      <c r="I2" s="12">
        <v>1</v>
      </c>
      <c r="J2" s="12">
        <v>0</v>
      </c>
      <c r="K2" s="11"/>
      <c r="L2" s="40"/>
      <c r="M2" s="50">
        <f t="shared" ref="M2:M13" si="0">IFERROR(COUNTIF(G2:J2,1)/(COUNTIF(G2:J2,1)+COUNTIF(G2:J2,0)),0)</f>
        <v>0.75</v>
      </c>
    </row>
    <row r="3" spans="1:13">
      <c r="A3" s="39" t="s">
        <v>68</v>
      </c>
      <c r="B3" s="13">
        <v>2</v>
      </c>
      <c r="C3" s="13" t="s">
        <v>71</v>
      </c>
      <c r="D3" s="13" t="s">
        <v>50</v>
      </c>
      <c r="E3" s="13" t="s">
        <v>14</v>
      </c>
      <c r="F3" s="12" t="s">
        <v>80</v>
      </c>
      <c r="G3" s="12">
        <v>1</v>
      </c>
      <c r="H3" s="12">
        <v>1</v>
      </c>
      <c r="I3" s="12">
        <v>1</v>
      </c>
      <c r="J3" s="90">
        <v>1</v>
      </c>
      <c r="K3" s="10"/>
      <c r="L3" s="40"/>
      <c r="M3" s="50">
        <f t="shared" si="0"/>
        <v>1</v>
      </c>
    </row>
    <row r="4" spans="1:13">
      <c r="A4" s="39" t="s">
        <v>68</v>
      </c>
      <c r="B4" s="13">
        <v>3</v>
      </c>
      <c r="C4" s="13" t="s">
        <v>74</v>
      </c>
      <c r="D4" s="13" t="s">
        <v>51</v>
      </c>
      <c r="E4" s="13" t="s">
        <v>13</v>
      </c>
      <c r="F4" s="12" t="s">
        <v>80</v>
      </c>
      <c r="G4" s="12">
        <v>0</v>
      </c>
      <c r="H4" s="12">
        <v>0</v>
      </c>
      <c r="I4" s="12">
        <v>0</v>
      </c>
      <c r="J4" s="12">
        <v>0</v>
      </c>
      <c r="K4" s="11"/>
      <c r="L4" s="40"/>
      <c r="M4" s="50">
        <f t="shared" si="0"/>
        <v>0</v>
      </c>
    </row>
    <row r="5" spans="1:13">
      <c r="A5" s="39" t="s">
        <v>68</v>
      </c>
      <c r="B5" s="13">
        <v>3</v>
      </c>
      <c r="C5" s="13" t="s">
        <v>73</v>
      </c>
      <c r="D5" s="13" t="s">
        <v>107</v>
      </c>
      <c r="E5" s="13" t="s">
        <v>13</v>
      </c>
      <c r="F5" s="12" t="s">
        <v>80</v>
      </c>
      <c r="G5" s="12">
        <v>0</v>
      </c>
      <c r="H5" s="12">
        <v>0</v>
      </c>
      <c r="I5" s="12">
        <v>0</v>
      </c>
      <c r="J5" s="12">
        <v>0</v>
      </c>
      <c r="K5" s="11"/>
      <c r="L5" s="40"/>
      <c r="M5" s="50">
        <f t="shared" si="0"/>
        <v>0</v>
      </c>
    </row>
    <row r="6" spans="1:13">
      <c r="A6" s="39" t="s">
        <v>68</v>
      </c>
      <c r="B6" s="13">
        <v>4</v>
      </c>
      <c r="C6" s="14" t="s">
        <v>110</v>
      </c>
      <c r="D6" s="13" t="s">
        <v>52</v>
      </c>
      <c r="E6" s="13" t="s">
        <v>14</v>
      </c>
      <c r="F6" s="12" t="s">
        <v>80</v>
      </c>
      <c r="G6" s="12">
        <v>0</v>
      </c>
      <c r="H6" s="12">
        <v>0</v>
      </c>
      <c r="I6" s="12">
        <v>0</v>
      </c>
      <c r="J6" s="12">
        <v>0</v>
      </c>
      <c r="K6" s="10"/>
      <c r="L6" s="41"/>
      <c r="M6" s="50">
        <f t="shared" si="0"/>
        <v>0</v>
      </c>
    </row>
    <row r="7" spans="1:13">
      <c r="A7" s="39" t="s">
        <v>68</v>
      </c>
      <c r="B7" s="13">
        <v>4</v>
      </c>
      <c r="C7" s="14" t="s">
        <v>108</v>
      </c>
      <c r="D7" s="13" t="s">
        <v>114</v>
      </c>
      <c r="E7" s="13" t="s">
        <v>14</v>
      </c>
      <c r="F7" s="12" t="s">
        <v>80</v>
      </c>
      <c r="G7" s="12">
        <v>0</v>
      </c>
      <c r="H7" s="12">
        <v>0</v>
      </c>
      <c r="I7" s="12">
        <v>0</v>
      </c>
      <c r="J7" s="12">
        <v>0</v>
      </c>
      <c r="K7" s="10"/>
      <c r="L7" s="41"/>
      <c r="M7" s="50">
        <f t="shared" si="0"/>
        <v>0</v>
      </c>
    </row>
    <row r="8" spans="1:13">
      <c r="A8" s="39" t="s">
        <v>68</v>
      </c>
      <c r="B8" s="13">
        <v>4</v>
      </c>
      <c r="C8" s="14" t="s">
        <v>109</v>
      </c>
      <c r="D8" s="13" t="s">
        <v>53</v>
      </c>
      <c r="E8" s="13" t="s">
        <v>14</v>
      </c>
      <c r="F8" s="12" t="s">
        <v>80</v>
      </c>
      <c r="G8" s="12">
        <v>0</v>
      </c>
      <c r="H8" s="12">
        <v>0</v>
      </c>
      <c r="I8" s="12">
        <v>0</v>
      </c>
      <c r="J8" s="12">
        <v>0</v>
      </c>
      <c r="K8" s="10"/>
      <c r="L8" s="41"/>
      <c r="M8" s="50">
        <f t="shared" si="0"/>
        <v>0</v>
      </c>
    </row>
    <row r="9" spans="1:13">
      <c r="A9" s="39" t="s">
        <v>68</v>
      </c>
      <c r="B9" s="13">
        <v>7</v>
      </c>
      <c r="C9" s="13" t="s">
        <v>72</v>
      </c>
      <c r="D9" s="13" t="s">
        <v>54</v>
      </c>
      <c r="E9" s="13" t="s">
        <v>14</v>
      </c>
      <c r="F9" s="12" t="s">
        <v>80</v>
      </c>
      <c r="G9" s="12">
        <v>0</v>
      </c>
      <c r="H9" s="12">
        <v>0</v>
      </c>
      <c r="I9" s="12">
        <v>0</v>
      </c>
      <c r="J9" s="12">
        <v>0</v>
      </c>
      <c r="K9" s="9"/>
      <c r="L9" s="40"/>
      <c r="M9" s="50">
        <f t="shared" si="0"/>
        <v>0</v>
      </c>
    </row>
    <row r="10" spans="1:13">
      <c r="A10" s="39" t="s">
        <v>68</v>
      </c>
      <c r="B10" s="13">
        <v>7</v>
      </c>
      <c r="C10" s="13" t="s">
        <v>111</v>
      </c>
      <c r="D10" s="13" t="s">
        <v>55</v>
      </c>
      <c r="E10" s="13" t="s">
        <v>14</v>
      </c>
      <c r="F10" s="12" t="s">
        <v>80</v>
      </c>
      <c r="G10" s="12">
        <v>0</v>
      </c>
      <c r="H10" s="12">
        <v>0</v>
      </c>
      <c r="I10" s="12">
        <v>0</v>
      </c>
      <c r="J10" s="12">
        <v>0</v>
      </c>
      <c r="K10" s="11"/>
      <c r="L10" s="41"/>
      <c r="M10" s="50">
        <f t="shared" si="0"/>
        <v>0</v>
      </c>
    </row>
    <row r="11" spans="1:13">
      <c r="A11" s="39" t="s">
        <v>68</v>
      </c>
      <c r="B11" s="13">
        <v>8</v>
      </c>
      <c r="C11" s="13" t="s">
        <v>58</v>
      </c>
      <c r="D11" s="13" t="s">
        <v>56</v>
      </c>
      <c r="E11" s="13" t="s">
        <v>16</v>
      </c>
      <c r="F11" s="12" t="s">
        <v>80</v>
      </c>
      <c r="G11" s="12">
        <v>1</v>
      </c>
      <c r="H11" s="12">
        <v>1</v>
      </c>
      <c r="I11" s="12">
        <v>1</v>
      </c>
      <c r="J11" s="12">
        <v>0</v>
      </c>
      <c r="K11" s="11"/>
      <c r="L11" s="40"/>
      <c r="M11" s="50">
        <f t="shared" si="0"/>
        <v>0.75</v>
      </c>
    </row>
    <row r="12" spans="1:13">
      <c r="A12" s="39" t="s">
        <v>68</v>
      </c>
      <c r="B12" s="13">
        <v>9</v>
      </c>
      <c r="C12" s="13" t="s">
        <v>112</v>
      </c>
      <c r="D12" s="13" t="s">
        <v>57</v>
      </c>
      <c r="E12" s="13" t="s">
        <v>15</v>
      </c>
      <c r="F12" s="12" t="s">
        <v>80</v>
      </c>
      <c r="G12" s="12">
        <v>1</v>
      </c>
      <c r="H12" s="12">
        <v>1</v>
      </c>
      <c r="I12" s="12">
        <v>1</v>
      </c>
      <c r="J12" s="12">
        <v>0</v>
      </c>
      <c r="K12" s="11"/>
      <c r="L12" s="40"/>
      <c r="M12" s="50">
        <f t="shared" si="0"/>
        <v>0.75</v>
      </c>
    </row>
    <row r="13" spans="1:13">
      <c r="A13" s="39" t="s">
        <v>68</v>
      </c>
      <c r="B13" s="13">
        <v>9</v>
      </c>
      <c r="C13" s="13" t="s">
        <v>113</v>
      </c>
      <c r="D13" s="13" t="s">
        <v>57</v>
      </c>
      <c r="E13" s="13" t="s">
        <v>96</v>
      </c>
      <c r="F13" s="12" t="s">
        <v>80</v>
      </c>
      <c r="G13" s="12">
        <v>1</v>
      </c>
      <c r="H13" s="12">
        <v>1</v>
      </c>
      <c r="I13" s="12">
        <v>1</v>
      </c>
      <c r="J13" s="12">
        <v>0</v>
      </c>
      <c r="K13" s="11"/>
      <c r="L13" s="41"/>
      <c r="M13" s="50">
        <f t="shared" si="0"/>
        <v>0.75</v>
      </c>
    </row>
    <row r="14" spans="1:13">
      <c r="G14" s="99" t="s">
        <v>95</v>
      </c>
      <c r="H14" s="99"/>
    </row>
    <row r="15" spans="1:13">
      <c r="G15" s="101">
        <f>AVERAGE(M2:M13)</f>
        <v>0.33333333333333331</v>
      </c>
      <c r="H15" s="101"/>
    </row>
  </sheetData>
  <mergeCells count="2">
    <mergeCell ref="G15:H15"/>
    <mergeCell ref="G14:H14"/>
  </mergeCells>
  <phoneticPr fontId="1" type="noConversion"/>
  <conditionalFormatting sqref="G15:H15">
    <cfRule type="dataBar" priority="2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{D2071D9E-FBBF-40A0-9039-EFC8E341F7C0}</x14:id>
        </ext>
      </extLst>
    </cfRule>
  </conditionalFormatting>
  <conditionalFormatting sqref="M2:M13">
    <cfRule type="dataBar" priority="1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{D23387DF-1A18-4206-B382-5DFA87F7139E}</x14:id>
        </ext>
      </extLs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071D9E-FBBF-40A0-9039-EFC8E341F7C0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G15:H15</xm:sqref>
        </x14:conditionalFormatting>
        <x14:conditionalFormatting xmlns:xm="http://schemas.microsoft.com/office/excel/2006/main">
          <x14:cfRule type="dataBar" id="{D23387DF-1A18-4206-B382-5DFA87F7139E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M2:M13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IRUs 5G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Betto Romario Meza Lozano</dc:creator>
  <cp:lastModifiedBy>CORE HP</cp:lastModifiedBy>
  <cp:lastPrinted>2025-02-18T15:49:28Z</cp:lastPrinted>
  <dcterms:created xsi:type="dcterms:W3CDTF">2025-01-10T06:30:00Z</dcterms:created>
  <dcterms:modified xsi:type="dcterms:W3CDTF">2026-06-15T16:00:17Z</dcterms:modified>
</cp:coreProperties>
</file>